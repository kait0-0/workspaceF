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27"/>
  <workbookPr filterPrivacy="1" codeName="ThisWorkbook"/>
  <xr:revisionPtr revIDLastSave="0" documentId="8_{4C6FCE76-BAC6-4CC8-B0B1-898D1EBAAA04}" xr6:coauthVersionLast="47" xr6:coauthVersionMax="47" xr10:uidLastSave="{00000000-0000-0000-0000-000000000000}"/>
  <bookViews>
    <workbookView xWindow="-120" yWindow="-120" windowWidth="20730" windowHeight="11760" xr2:uid="{00000000-000D-0000-FFFF-FFFF00000000}"/>
  </bookViews>
  <sheets>
    <sheet name="プロジェクトのスケジュール" sheetId="11" r:id="rId1"/>
    <sheet name="説明" sheetId="13" r:id="rId2"/>
    <sheet name="詳細情報" sheetId="12" r:id="rId3"/>
  </sheets>
  <definedNames>
    <definedName name="_xlnm.Print_Titles" localSheetId="0">プロジェクトのスケジュール!$4:$6</definedName>
    <definedName name="タスク_開始" localSheetId="0">プロジェクトのスケジュール!$E1</definedName>
    <definedName name="タスク_終了" localSheetId="0">プロジェクトのスケジュール!$F1</definedName>
    <definedName name="タスク_進捗状況" localSheetId="0">プロジェクトのスケジュール!$D1</definedName>
    <definedName name="プロジェクトの開始">プロジェクトのスケジュール!$E$3</definedName>
    <definedName name="今日" localSheetId="0">TODAY()</definedName>
    <definedName name="週表示">プロジェクトのスケジュール!$E$4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0" i="11" l="1"/>
  <c r="E30" i="11"/>
  <c r="F29" i="11"/>
  <c r="E29" i="11"/>
  <c r="F28" i="11"/>
  <c r="E28" i="11"/>
  <c r="H32" i="11"/>
  <c r="H7" i="11"/>
  <c r="E9" i="11" l="1"/>
  <c r="E22" i="11" s="1"/>
  <c r="F22" i="11" l="1"/>
  <c r="H22" i="11" s="1"/>
  <c r="E23" i="11"/>
  <c r="I5" i="11"/>
  <c r="I6" i="11" s="1"/>
  <c r="H34" i="11"/>
  <c r="H31" i="11"/>
  <c r="H30" i="11"/>
  <c r="H29" i="11"/>
  <c r="H28" i="11"/>
  <c r="H26" i="11"/>
  <c r="H21" i="11"/>
  <c r="H20" i="11"/>
  <c r="H14" i="11"/>
  <c r="H8" i="11"/>
  <c r="H9" i="11" l="1"/>
  <c r="F10" i="11"/>
  <c r="E11" i="11" s="1"/>
  <c r="E13" i="11"/>
  <c r="E16" i="11" l="1"/>
  <c r="F16" i="11" s="1"/>
  <c r="H27" i="11"/>
  <c r="H25" i="11"/>
  <c r="H10" i="11"/>
  <c r="H23" i="11"/>
  <c r="F15" i="11"/>
  <c r="H15" i="11" s="1"/>
  <c r="F13" i="11"/>
  <c r="H13" i="11" s="1"/>
  <c r="F11" i="11"/>
  <c r="E12" i="11" s="1"/>
  <c r="J5" i="11"/>
  <c r="K5" i="11" l="1"/>
  <c r="L5" i="11" l="1"/>
  <c r="M5" i="11" l="1"/>
  <c r="N5" i="11" l="1"/>
  <c r="O5" i="11" l="1"/>
  <c r="P5" i="11" l="1"/>
  <c r="P6" i="11" s="1"/>
  <c r="O6" i="11"/>
  <c r="N6" i="11"/>
  <c r="M6" i="11"/>
  <c r="L6" i="11"/>
  <c r="K6" i="11"/>
  <c r="J6" i="11"/>
  <c r="I4" i="11"/>
  <c r="H24" i="11" l="1"/>
  <c r="H16" i="11"/>
  <c r="E17" i="11"/>
  <c r="E18" i="11" s="1"/>
  <c r="H11" i="11"/>
  <c r="F12" i="11"/>
  <c r="H12" i="11" s="1"/>
  <c r="P4" i="11"/>
  <c r="Q5" i="11"/>
  <c r="R5" i="11" l="1"/>
  <c r="S5" i="11" l="1"/>
  <c r="T5" i="11" l="1"/>
  <c r="U5" i="11" l="1"/>
  <c r="V5" i="11" l="1"/>
  <c r="W5" i="11" l="1"/>
  <c r="W6" i="11" s="1"/>
  <c r="V6" i="11"/>
  <c r="U6" i="11"/>
  <c r="T6" i="11"/>
  <c r="S6" i="11"/>
  <c r="R6" i="11"/>
  <c r="Q6" i="11"/>
  <c r="H19" i="11"/>
  <c r="F18" i="11"/>
  <c r="H18" i="11" s="1"/>
  <c r="F17" i="11"/>
  <c r="H17" i="11" s="1"/>
  <c r="W4" i="11"/>
  <c r="X5" i="11"/>
  <c r="Y5" i="11" l="1"/>
  <c r="Z5" i="11" l="1"/>
  <c r="AA5" i="11" l="1"/>
  <c r="AB5" i="11" l="1"/>
  <c r="AC5" i="11" l="1"/>
  <c r="AD5" i="11" l="1"/>
  <c r="AD6" i="11" s="1"/>
  <c r="AC6" i="11"/>
  <c r="AB6" i="11"/>
  <c r="AA6" i="11"/>
  <c r="Z6" i="11"/>
  <c r="Y6" i="11"/>
  <c r="X6" i="11"/>
  <c r="AE5" i="11"/>
  <c r="AF5" i="11" l="1"/>
  <c r="AG5" i="11" l="1"/>
  <c r="AH5" i="11" l="1"/>
  <c r="AI5" i="11" l="1"/>
  <c r="AJ5" i="11" l="1"/>
  <c r="AJ6" i="11" s="1"/>
  <c r="AI6" i="11"/>
  <c r="AH6" i="11"/>
  <c r="AG6" i="11"/>
  <c r="AF6" i="11"/>
  <c r="AE6" i="11"/>
  <c r="AD4" i="11"/>
  <c r="AK5" i="11" l="1"/>
  <c r="AL5" i="11" l="1"/>
  <c r="AM5" i="11" l="1"/>
  <c r="AN5" i="11" l="1"/>
  <c r="AO5" i="11" l="1"/>
  <c r="AP5" i="11" l="1"/>
  <c r="AQ5" i="11" l="1"/>
  <c r="AQ6" i="11" s="1"/>
  <c r="AP6" i="11"/>
  <c r="AO6" i="11"/>
  <c r="AN6" i="11"/>
  <c r="AM6" i="11"/>
  <c r="AL6" i="11"/>
  <c r="AK6" i="11"/>
  <c r="AR5" i="11" l="1"/>
  <c r="AS5" i="11" s="1"/>
  <c r="AS6" i="11" s="1"/>
  <c r="AK4" i="11"/>
  <c r="AR6" i="11" l="1"/>
  <c r="AT5" i="11"/>
  <c r="AT6" i="11" s="1"/>
  <c r="AR4" i="11"/>
  <c r="AU5" i="11" l="1"/>
  <c r="AU6" i="11" s="1"/>
  <c r="AV5" i="11" l="1"/>
  <c r="AV6" i="11" s="1"/>
  <c r="AW5" i="11" l="1"/>
  <c r="AW6" i="11" s="1"/>
  <c r="AX5" i="11" l="1"/>
  <c r="AX6" i="11" l="1"/>
</calcChain>
</file>

<file path=xl/sharedStrings.xml><?xml version="1.0" encoding="utf-8"?>
<sst xmlns="http://schemas.openxmlformats.org/spreadsheetml/2006/main" count="99" uniqueCount="84">
  <si>
    <t>このワークシートでプロジェクトのスケジュール​​を作成します。
セル B1 には、このプロジェクトのタイトルを入力します。
このワークシートの使用方法に関する情報 (スクリーン リーダーの説明やブックの作成者など) は、"詳細情報" ワークシートに入ります。
列 A を下方に移動し続けると、さらに多くの情報を確認できます。</t>
  </si>
  <si>
    <t>プロジェクト タイトル</t>
  </si>
  <si>
    <t>シンプル ガント チャート (Vertex42.com)</t>
  </si>
  <si>
    <t>セル B2 には会社の名前を入力します。</t>
  </si>
  <si>
    <t>F</t>
    <phoneticPr fontId="29"/>
  </si>
  <si>
    <t>https://www.vertex42.com/ExcelTemplates/simple-gantt-chart.html</t>
  </si>
  <si>
    <t>セル B3 に、プロジェクト主任の名前を入力します。セル E3 には、プロジェクトの開始日を入力します。プロジェクトの開始: ラベルはセル C3 にあります。</t>
  </si>
  <si>
    <r>
      <rPr>
        <sz val="11"/>
        <color theme="1"/>
        <rFont val="Meiryo UI"/>
        <family val="3"/>
        <charset val="128"/>
      </rPr>
      <t>野村海人　山名ひなた</t>
    </r>
    <r>
      <rPr>
        <sz val="14"/>
        <color rgb="FFFF0000"/>
        <rFont val="Meiryo UI"/>
        <family val="3"/>
        <charset val="128"/>
      </rPr>
      <t>　</t>
    </r>
    <rPh sb="0" eb="2">
      <t>ノムラ</t>
    </rPh>
    <rPh sb="2" eb="4">
      <t>ウミヒト</t>
    </rPh>
    <rPh sb="5" eb="7">
      <t>ヤマナ</t>
    </rPh>
    <phoneticPr fontId="29"/>
  </si>
  <si>
    <t>プロジェクトの開始:</t>
  </si>
  <si>
    <t>セル E4 の週表示は、セル I4 のプロジェクトのスケジュールに表示する開始週を表します。プロジェクトの開始日は、第 1 週と見なされます。週表示を変更するには、セル E4 に新しい週番号を入力します。
セル E4 の週表示から始まる各週の開始日は、セル I4 から始まり、自動計算されます。このビューには、セル I4 からセル BF4 までの 8 週間が表示されます。
これらのセルは変更しないでください。
週表示: ラベルはセル C4 にあります。</t>
  </si>
  <si>
    <t>平岡大知　坂上聖流　岡田理玖</t>
    <phoneticPr fontId="29"/>
  </si>
  <si>
    <t>週表示:</t>
  </si>
  <si>
    <t>セル I5 から BL5 には、各日付のセルの上にあるセル ブロック内に表示される週の日付の数字が含まれており、自動的に計算が行われます。
これらのセルは変更しないでください。
今日の日付は、行 5 の今日の日付からプロジェクト スケジュールの最後まで日付列全体が赤 (16 進値 #AD3815) で囲まれます。</t>
  </si>
  <si>
    <t>この行には、その下に続くプロジェクトのスケジュールの見出しが含まれます。
コンテンツを読み上げるには、B6 から BL 6 に移動します。その見出しの上にある日付の各曜日の最初の文字が、セル I6 から始まってセル BL6 まで続きます。
すべてのプロジェクトのタイムライン グラフは、条件付き書式を使用して、入力された開始日と終了日に基づいて自動生成されます。
セル I7 から始まる列 I 以降の列のセルの内容を変更しないでください。</t>
  </si>
  <si>
    <t>タスク</t>
  </si>
  <si>
    <t>担当者</t>
    <phoneticPr fontId="29"/>
  </si>
  <si>
    <t>進捗状況</t>
  </si>
  <si>
    <t>開始</t>
  </si>
  <si>
    <t>終了</t>
  </si>
  <si>
    <t>日数</t>
  </si>
  <si>
    <t xml:space="preserve">この行は削除しないでください。この行は、プロジェクトのスケジュール内にある現在の日付を強調表示するために使用されている数式を保持するために非表示になっています。 </t>
  </si>
  <si>
    <t>セル B8 には、フェーズ 1 のサンプルのタイトルが含まれます。
セル B8 に新しいタイトルを入力します。
プロジェクトに該当する場合は、セル C8 にフェーズを割り当てる名前を入力します。
プロジェクトに該当する場合は、セル D8 にフェーズ全体の進捗状況を入力します。
プロジェクトに該当する場合は、フェーズ全体の開始日と終了日をセル E8 と F8 に入力します。
ガント チャートは自動的に適切な日付を入力し、入力した進捗状況に応じて網かけを設定します。
フェーズを削除してタスクからのみ作業をするには、この行を削除するだけです。</t>
  </si>
  <si>
    <t>フェーズ 1 タイトル</t>
  </si>
  <si>
    <t xml:space="preserve">セル B9 には、サンプル タスク "タスク 1" が含まれます。
セル B9 に、新しいタスク名を入力します。
セル C9 にタスクを割り当てるユーザーを入力します。
セル D9 のタスクの進捗状況を入力します。進行状況バーは、セル内に表示され、セルの数に従って網かけを適用します。たとえば、50% の進捗状況はセルの半分に網かけを設定します。
セル E9 にタスクの開始日を入力します。
セル F9 にタスクの終了日を入力します。
入力した日付の網かけのステータス バーは、セル I9 から始まる BL9 までのブロックに表示されます。 </t>
  </si>
  <si>
    <t>ガントチャート作成</t>
    <rPh sb="7" eb="9">
      <t>サクセイ</t>
    </rPh>
    <phoneticPr fontId="29"/>
  </si>
  <si>
    <t>山名、野村</t>
    <rPh sb="0" eb="2">
      <t>ヤマナ</t>
    </rPh>
    <rPh sb="3" eb="5">
      <t>ノムラ</t>
    </rPh>
    <phoneticPr fontId="29"/>
  </si>
  <si>
    <t>行 10 から 13 は、行 9 のパターンを繰り返します。
このワークシート内のすべてのタスク行に対し、セル A9 の手順を繰り返します。サンプル データはすべて上書きします。
別のフェーズのサンプルは、セル A14 から始まります。
セル A10 から A13 までにタスクの入力を続けるか、セル A14 に移動して詳細を確認します。</t>
  </si>
  <si>
    <t>勉強</t>
    <rPh sb="0" eb="2">
      <t>ベンキョウ</t>
    </rPh>
    <phoneticPr fontId="29"/>
  </si>
  <si>
    <t>全員</t>
    <rPh sb="0" eb="2">
      <t>ゼンイン</t>
    </rPh>
    <phoneticPr fontId="29"/>
  </si>
  <si>
    <t>プレゼン</t>
    <phoneticPr fontId="29"/>
  </si>
  <si>
    <t>坂上</t>
    <rPh sb="0" eb="2">
      <t>サカウエ</t>
    </rPh>
    <phoneticPr fontId="29"/>
  </si>
  <si>
    <t>服の素材集め</t>
    <rPh sb="0" eb="1">
      <t>フク</t>
    </rPh>
    <rPh sb="2" eb="4">
      <t>ソザイ</t>
    </rPh>
    <rPh sb="4" eb="5">
      <t>アツ</t>
    </rPh>
    <phoneticPr fontId="29"/>
  </si>
  <si>
    <t>山名</t>
    <rPh sb="0" eb="2">
      <t>ヤマナ</t>
    </rPh>
    <phoneticPr fontId="29"/>
  </si>
  <si>
    <t>岡田</t>
    <rPh sb="0" eb="2">
      <t>オカダ</t>
    </rPh>
    <phoneticPr fontId="29"/>
  </si>
  <si>
    <t>右のセルには、フェーズ 2 のサンプルのタイトルが含まれます。
B 列に、いつでも新しいフェーズを作成できます。このプロジェクトのスケジュールには、フェーズは不要です。フェーズを削除するには、行を削除するだけです。
この行に新しいフェーズ ブロックを作成するには、右のセルに新しいタイトルを入力します。
上記のフェーズにタスクの追加を続けるには、この行の 1 つ上に新しい行を入力し、セル A9 の説明のようにタスク データを入力します。
セル A8 の説明に基づいて右側のセルのフェーズの詳細情報を更新します。
詳細については、A 列のセルを下に移動します。
このワークシートに新しい行を追加していない場合は、セル B20 と B26 に 2 つの追加のサンプル フェーズ ブロックが作成され表示されます。それ以外の場合、A 列のセルを移動して追加のブロックを探します。
必要に応じて、セル A8 と A9 の手順を繰り返します。</t>
  </si>
  <si>
    <t>ドロネーの三角形分割</t>
  </si>
  <si>
    <t>分割</t>
  </si>
  <si>
    <t>野村</t>
    <rPh sb="0" eb="2">
      <t>ノムラ</t>
    </rPh>
    <phoneticPr fontId="29"/>
  </si>
  <si>
    <t>画像に適当に特徴点を割り当て</t>
    <phoneticPr fontId="29"/>
  </si>
  <si>
    <t>座標空間だけで動かす</t>
  </si>
  <si>
    <t>平岡、坂上</t>
    <rPh sb="0" eb="2">
      <t>ヒラオカ</t>
    </rPh>
    <rPh sb="3" eb="5">
      <t>サカウエ</t>
    </rPh>
    <phoneticPr fontId="29"/>
  </si>
  <si>
    <t>服を動かしてみる</t>
    <phoneticPr fontId="29"/>
  </si>
  <si>
    <t>中間発表</t>
    <rPh sb="0" eb="2">
      <t>チュウカン</t>
    </rPh>
    <rPh sb="2" eb="4">
      <t>ハッピョウ</t>
    </rPh>
    <phoneticPr fontId="29"/>
  </si>
  <si>
    <t>サンプル フェーズ タイトル ブロック</t>
  </si>
  <si>
    <t>服を動かす</t>
  </si>
  <si>
    <t>画像集め</t>
  </si>
  <si>
    <t>服の関節を割り出す</t>
  </si>
  <si>
    <t>ユーザーの関節と対応させる</t>
    <phoneticPr fontId="29"/>
  </si>
  <si>
    <t>ユーザーに合わせて動かす</t>
    <phoneticPr fontId="29"/>
  </si>
  <si>
    <t>最終発表</t>
    <rPh sb="0" eb="2">
      <t>サイシュウ</t>
    </rPh>
    <rPh sb="2" eb="4">
      <t>ハッピョウ</t>
    </rPh>
    <phoneticPr fontId="29"/>
  </si>
  <si>
    <t>予備プラン（1週間で出来る内容）</t>
    <rPh sb="0" eb="2">
      <t>ヨビ</t>
    </rPh>
    <rPh sb="7" eb="9">
      <t>シュウカン</t>
    </rPh>
    <rPh sb="10" eb="12">
      <t>デキ</t>
    </rPh>
    <rPh sb="13" eb="15">
      <t>ナイヨウ</t>
    </rPh>
    <phoneticPr fontId="29"/>
  </si>
  <si>
    <t>服の特徴点を抽出する</t>
    <rPh sb="0" eb="1">
      <t>フク</t>
    </rPh>
    <rPh sb="2" eb="5">
      <t>トクチョウテン</t>
    </rPh>
    <rPh sb="6" eb="8">
      <t>チュウシュツ</t>
    </rPh>
    <phoneticPr fontId="29"/>
  </si>
  <si>
    <t>野村、山名、岡田</t>
    <rPh sb="0" eb="2">
      <t>ノムラ</t>
    </rPh>
    <rPh sb="3" eb="5">
      <t>ヤマナ</t>
    </rPh>
    <rPh sb="6" eb="8">
      <t>オカダ</t>
    </rPh>
    <phoneticPr fontId="29"/>
  </si>
  <si>
    <t>プレゼン作り</t>
    <rPh sb="4" eb="5">
      <t>ツク</t>
    </rPh>
    <phoneticPr fontId="29"/>
  </si>
  <si>
    <t>服を動かす</t>
    <rPh sb="0" eb="1">
      <t>フク</t>
    </rPh>
    <rPh sb="2" eb="3">
      <t>ウゴ</t>
    </rPh>
    <phoneticPr fontId="29"/>
  </si>
  <si>
    <t>平岡</t>
    <rPh sb="0" eb="2">
      <t>ヒラオカ</t>
    </rPh>
    <phoneticPr fontId="29"/>
  </si>
  <si>
    <t>タスク 4</t>
    <phoneticPr fontId="29"/>
  </si>
  <si>
    <t>坂上</t>
  </si>
  <si>
    <t>レポート提出</t>
    <rPh sb="4" eb="6">
      <t>テイシュツ</t>
    </rPh>
    <phoneticPr fontId="29"/>
  </si>
  <si>
    <t>この行は、プロジェクトのスケジュールの終了を表します。この行には何も入力しないでください。
この行の上に新しい行を挿入して、プロジェクトのスケジュールの作成を続けます。</t>
  </si>
  <si>
    <t>この行の上に新しい行を挿入する</t>
  </si>
  <si>
    <t>WBS(作業分解構造図/Work Breakdown Structure)</t>
    <phoneticPr fontId="29"/>
  </si>
  <si>
    <t>作業内容を階層的に分割する（大項目/中項目/小項目）</t>
    <rPh sb="0" eb="2">
      <t>サギョウ</t>
    </rPh>
    <rPh sb="2" eb="4">
      <t>ナイヨウ</t>
    </rPh>
    <rPh sb="5" eb="8">
      <t>カイソウテキ</t>
    </rPh>
    <rPh sb="9" eb="11">
      <t>ブンカツ</t>
    </rPh>
    <rPh sb="14" eb="17">
      <t>ダイコウモク</t>
    </rPh>
    <rPh sb="18" eb="21">
      <t>チュウコウモク</t>
    </rPh>
    <rPh sb="22" eb="25">
      <t>ショウコウモク</t>
    </rPh>
    <phoneticPr fontId="29"/>
  </si>
  <si>
    <t>必要に応じて行を追加する</t>
    <rPh sb="0" eb="2">
      <t>ヒツヨウ</t>
    </rPh>
    <rPh sb="3" eb="4">
      <t>オウ</t>
    </rPh>
    <rPh sb="6" eb="7">
      <t>ギョウ</t>
    </rPh>
    <rPh sb="8" eb="10">
      <t>ツイカ</t>
    </rPh>
    <phoneticPr fontId="29"/>
  </si>
  <si>
    <t>作業に必要な期間を見積もる</t>
    <rPh sb="0" eb="2">
      <t>サギョウ</t>
    </rPh>
    <rPh sb="3" eb="5">
      <t>ヒツヨウ</t>
    </rPh>
    <rPh sb="6" eb="8">
      <t>キカン</t>
    </rPh>
    <rPh sb="9" eb="11">
      <t>ミツ</t>
    </rPh>
    <phoneticPr fontId="29"/>
  </si>
  <si>
    <t>作業間の依存関係を明らかにする</t>
    <rPh sb="0" eb="2">
      <t>サギョウ</t>
    </rPh>
    <rPh sb="2" eb="3">
      <t>カン</t>
    </rPh>
    <rPh sb="4" eb="6">
      <t>イゾン</t>
    </rPh>
    <rPh sb="6" eb="8">
      <t>カンケイ</t>
    </rPh>
    <rPh sb="9" eb="10">
      <t>アキ</t>
    </rPh>
    <phoneticPr fontId="29"/>
  </si>
  <si>
    <t>担当者（責任者）を決定する</t>
    <rPh sb="0" eb="3">
      <t>タントウシャ</t>
    </rPh>
    <rPh sb="4" eb="7">
      <t>セキニンシャ</t>
    </rPh>
    <rPh sb="9" eb="11">
      <t>ケッテイ</t>
    </rPh>
    <phoneticPr fontId="29"/>
  </si>
  <si>
    <t>締切に間に合うことを確認する</t>
    <rPh sb="0" eb="2">
      <t>シメキリ</t>
    </rPh>
    <rPh sb="3" eb="4">
      <t>マ</t>
    </rPh>
    <rPh sb="5" eb="6">
      <t>ア</t>
    </rPh>
    <rPh sb="10" eb="12">
      <t>カクニン</t>
    </rPh>
    <phoneticPr fontId="29"/>
  </si>
  <si>
    <t>ガントチャート</t>
    <phoneticPr fontId="29"/>
  </si>
  <si>
    <t>WBSの項目毎のスケジュールを棒グラフで表示したもの</t>
    <rPh sb="4" eb="6">
      <t>コウモク</t>
    </rPh>
    <rPh sb="6" eb="7">
      <t>ゴト</t>
    </rPh>
    <rPh sb="15" eb="16">
      <t>ボウ</t>
    </rPh>
    <rPh sb="20" eb="22">
      <t>ヒョウジ</t>
    </rPh>
    <phoneticPr fontId="29"/>
  </si>
  <si>
    <t>進捗や、締切までの状況が一目でわかる</t>
    <rPh sb="0" eb="2">
      <t>シンチョク</t>
    </rPh>
    <rPh sb="4" eb="6">
      <t>シメキリ</t>
    </rPh>
    <rPh sb="9" eb="11">
      <t>ジョウキョウ</t>
    </rPh>
    <rPh sb="12" eb="14">
      <t>ヒトメ</t>
    </rPh>
    <phoneticPr fontId="29"/>
  </si>
  <si>
    <t>このテンプレートについて</t>
  </si>
  <si>
    <t>このテンプレートを使用すると、プロジェクトの視覚化と管理に役立つガント チャートを簡単な方法で作成できます。タスクと開始日、終了日を入力するだけです。数式の入力は必要はありません。ガント チャートのバーは、タスクの期間を表し、条件付き書式を使用して表示されます。新しいタスクを挿入するには、新しい行を挿入します。</t>
  </si>
  <si>
    <t>スクリーン リーダーのガイド</t>
  </si>
  <si>
    <t>このブックには 2 つのワークシートがあります。
タイムシート
詳細情報
各ワークシートの説明は、各ワークシートの A 列のセル A1 から始まります。非表示のテキストで書き込まれます。各手順では、その行に含まれる情報について説明しています。明示的な指示がない限り、後続の各手順はセル A2、セル A3 といった順に格納されています。たとえば、説明テキストに、次の手順について "セル A6 に続く" と記載されている場合があります。
この非表示のテキストは印刷されません。
ワークシートからこれらの説明を削除する場合は、A 列を削除するだけです。</t>
  </si>
  <si>
    <t>その他のヘルプ</t>
  </si>
  <si>
    <t>以下のリンクから Vertex42.com にアクセスし、このテンプレートの使用方法を詳しく学びます。たとえば、日数と稼働日の計算、タスクの依存関係を作成する、バーの色の変更、週表示を簡単に変更するためのスクロール バーを追加する方法、グラフに表示される日付範囲の拡大方法など。</t>
  </si>
  <si>
    <t>シンプル ガント チャートの使用方法</t>
  </si>
  <si>
    <t>その他のプロジェクト管理テンプレート</t>
  </si>
  <si>
    <t>Vertex42.com にアクセスして、さまざまな種類のプロジェクト スケジュール、ガント チャート、タスク リストなどのその他のプロジェクト管理テンプレートをダウンロードしてください。</t>
  </si>
  <si>
    <t>プロジェクト管理テンプレート</t>
  </si>
  <si>
    <t>Vertex42 について</t>
  </si>
  <si>
    <t>Vertex42.com では、企業、家庭、教育用に 300 を超える本格的なデザインのスプレッドシート テンプレートを提供しています。この大部分は無料でダウンロードすることができます。Vertex42.com のコレクションには、各種のカレンダー、プランナー、スケジュールに加えて、予算作成、債務削減、ローン返済用の個人の財務に関するスプレッドシートも含まれています。</t>
  </si>
  <si>
    <t>企業向けには、請求書、タイム シート、在庫管理、財務諸表、プロジェクト計画策定テンプレートがあります。学生と教師向けには、授業計画表、成績表、出席簿などのリソースがあります。献立表、チェックリスト、運動記録を使用して家族の生活を整理しましょう。各テンプレートは、数千のユーザーからのフィードバックを基に時間をかけて十分に研究、調整、改良されたもので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</si>
</sst>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2" formatCode="_ &quot;¥&quot;* #,##0_ ;_ &quot;¥&quot;* \-#,##0_ ;_ &quot;¥&quot;* &quot;-&quot;_ ;_ @_ "/>
    <numFmt numFmtId="44" formatCode="_ &quot;¥&quot;* #,##0.00_ ;_ &quot;¥&quot;* \-#,##0.00_ ;_ &quot;¥&quot;* &quot;-&quot;??_ ;_ @_ "/>
    <numFmt numFmtId="176" formatCode="_(* #,##0_);_(* \(#,##0\);_(* &quot;-&quot;_);_(@_)"/>
    <numFmt numFmtId="177" formatCode="_(* #,##0.00_);_(* \(#,##0.00\);_(* &quot;-&quot;??_);_(@_)"/>
    <numFmt numFmtId="178" formatCode="m/d/yy;@"/>
    <numFmt numFmtId="179" formatCode="aaa\,\ yyyy/m/d"/>
    <numFmt numFmtId="180" formatCode="d"/>
    <numFmt numFmtId="181" formatCode="m/d"/>
  </numFmts>
  <fonts count="47">
    <font>
      <sz val="11"/>
      <color theme="1"/>
      <name val="Meiryo UI"/>
      <family val="2"/>
    </font>
    <font>
      <sz val="11"/>
      <color theme="1"/>
      <name val="Meiryo UI"/>
      <family val="2"/>
    </font>
    <font>
      <sz val="11"/>
      <color theme="0"/>
      <name val="Meiryo UI"/>
      <family val="2"/>
    </font>
    <font>
      <sz val="11"/>
      <color rgb="FF9C0006"/>
      <name val="Meiryo UI"/>
      <family val="2"/>
    </font>
    <font>
      <b/>
      <sz val="11"/>
      <color rgb="FFFA7D00"/>
      <name val="Meiryo UI"/>
      <family val="2"/>
    </font>
    <font>
      <b/>
      <sz val="11"/>
      <color theme="0"/>
      <name val="Meiryo UI"/>
      <family val="2"/>
    </font>
    <font>
      <i/>
      <sz val="11"/>
      <color rgb="FF7F7F7F"/>
      <name val="Meiryo UI"/>
      <family val="2"/>
    </font>
    <font>
      <u/>
      <sz val="11"/>
      <color theme="11"/>
      <name val="Meiryo UI"/>
      <family val="2"/>
    </font>
    <font>
      <sz val="11"/>
      <color rgb="FF006100"/>
      <name val="Meiryo UI"/>
      <family val="2"/>
    </font>
    <font>
      <sz val="14"/>
      <color theme="1"/>
      <name val="Meiryo UI"/>
      <family val="2"/>
    </font>
    <font>
      <b/>
      <sz val="11"/>
      <color theme="3"/>
      <name val="Meiryo UI"/>
      <family val="2"/>
    </font>
    <font>
      <u/>
      <sz val="11"/>
      <color indexed="12"/>
      <name val="Meiryo UI"/>
      <family val="2"/>
    </font>
    <font>
      <sz val="11"/>
      <color rgb="FF3F3F76"/>
      <name val="Meiryo UI"/>
      <family val="2"/>
    </font>
    <font>
      <sz val="11"/>
      <color rgb="FFFA7D00"/>
      <name val="Meiryo UI"/>
      <family val="2"/>
    </font>
    <font>
      <sz val="11"/>
      <color rgb="FF9C5700"/>
      <name val="Meiryo UI"/>
      <family val="2"/>
    </font>
    <font>
      <b/>
      <sz val="11"/>
      <color rgb="FF3F3F3F"/>
      <name val="Meiryo UI"/>
      <family val="2"/>
    </font>
    <font>
      <b/>
      <sz val="22"/>
      <color theme="1" tint="0.34998626667073579"/>
      <name val="Meiryo UI"/>
      <family val="2"/>
    </font>
    <font>
      <b/>
      <sz val="11"/>
      <color theme="1"/>
      <name val="Meiryo UI"/>
      <family val="2"/>
    </font>
    <font>
      <sz val="11"/>
      <color rgb="FFFF0000"/>
      <name val="Meiryo UI"/>
      <family val="2"/>
    </font>
    <font>
      <b/>
      <sz val="20"/>
      <color theme="4" tint="-0.249977111117893"/>
      <name val="Meiryo UI"/>
      <family val="2"/>
    </font>
    <font>
      <sz val="10"/>
      <name val="Meiryo UI"/>
      <family val="2"/>
    </font>
    <font>
      <b/>
      <sz val="11"/>
      <name val="Meiryo UI"/>
      <family val="2"/>
    </font>
    <font>
      <sz val="9"/>
      <name val="Meiryo UI"/>
      <family val="2"/>
    </font>
    <font>
      <b/>
      <sz val="9"/>
      <color theme="0"/>
      <name val="Meiryo UI"/>
      <family val="2"/>
    </font>
    <font>
      <sz val="8"/>
      <color theme="0"/>
      <name val="Meiryo UI"/>
      <family val="2"/>
    </font>
    <font>
      <sz val="11"/>
      <name val="Meiryo UI"/>
      <family val="2"/>
    </font>
    <font>
      <i/>
      <sz val="9"/>
      <color theme="1"/>
      <name val="Meiryo UI"/>
      <family val="2"/>
    </font>
    <font>
      <sz val="10"/>
      <color theme="1" tint="0.499984740745262"/>
      <name val="Meiryo UI"/>
      <family val="2"/>
    </font>
    <font>
      <b/>
      <sz val="11"/>
      <color theme="1" tint="0.499984740745262"/>
      <name val="Meiryo UI"/>
      <family val="2"/>
    </font>
    <font>
      <sz val="6"/>
      <name val="ＭＳ Ｐゴシック"/>
      <family val="3"/>
      <charset val="128"/>
    </font>
    <font>
      <sz val="10"/>
      <name val="Meiryo UI"/>
      <family val="3"/>
      <charset val="128"/>
    </font>
    <font>
      <b/>
      <sz val="12"/>
      <color theme="1" tint="0.34998626667073579"/>
      <name val="Meiryo UI"/>
      <family val="3"/>
      <charset val="128"/>
    </font>
    <font>
      <b/>
      <sz val="10"/>
      <name val="Meiryo UI"/>
      <family val="3"/>
      <charset val="128"/>
    </font>
    <font>
      <sz val="11"/>
      <name val="Meiryo UI"/>
      <family val="3"/>
      <charset val="128"/>
    </font>
    <font>
      <sz val="11"/>
      <color theme="1" tint="0.499984740745262"/>
      <name val="Meiryo UI"/>
      <family val="3"/>
      <charset val="128"/>
    </font>
    <font>
      <b/>
      <sz val="16"/>
      <color theme="4" tint="-0.249977111117893"/>
      <name val="Meiryo UI"/>
      <family val="3"/>
      <charset val="128"/>
    </font>
    <font>
      <sz val="20"/>
      <name val="Meiryo UI"/>
      <family val="3"/>
      <charset val="128"/>
    </font>
    <font>
      <sz val="11"/>
      <color rgb="FF1D2129"/>
      <name val="Meiryo UI"/>
      <family val="3"/>
      <charset val="128"/>
    </font>
    <font>
      <sz val="11"/>
      <color theme="1"/>
      <name val="Meiryo UI"/>
      <family val="3"/>
      <charset val="128"/>
    </font>
    <font>
      <u/>
      <sz val="11"/>
      <color indexed="12"/>
      <name val="Meiryo UI"/>
      <family val="3"/>
      <charset val="128"/>
    </font>
    <font>
      <b/>
      <sz val="11"/>
      <color theme="1"/>
      <name val="Meiryo UI"/>
      <family val="3"/>
      <charset val="128"/>
    </font>
    <font>
      <b/>
      <sz val="11"/>
      <name val="Meiryo UI"/>
      <family val="3"/>
      <charset val="128"/>
    </font>
    <font>
      <sz val="11"/>
      <color rgb="FFFF0000"/>
      <name val="Meiryo UI"/>
      <family val="3"/>
      <charset val="128"/>
    </font>
    <font>
      <b/>
      <sz val="11"/>
      <color rgb="FFFF0000"/>
      <name val="Meiryo UI"/>
      <family val="2"/>
    </font>
    <font>
      <b/>
      <sz val="22"/>
      <color rgb="FFFF0000"/>
      <name val="Meiryo UI"/>
      <family val="2"/>
    </font>
    <font>
      <sz val="14"/>
      <color rgb="FFFF0000"/>
      <name val="Meiryo UI"/>
      <family val="2"/>
    </font>
    <font>
      <sz val="14"/>
      <color rgb="FFFF0000"/>
      <name val="Meiryo UI"/>
      <family val="3"/>
      <charset val="128"/>
    </font>
  </fonts>
  <fills count="46">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11" fillId="0" borderId="0" applyNumberFormat="0" applyFill="0" applyBorder="0" applyAlignment="0" applyProtection="0">
      <alignment vertical="top"/>
      <protection locked="0"/>
    </xf>
    <xf numFmtId="9" fontId="1" fillId="0" borderId="0" applyFont="0" applyFill="0" applyBorder="0" applyAlignment="0" applyProtection="0"/>
    <xf numFmtId="0" fontId="2" fillId="0" borderId="0"/>
    <xf numFmtId="177" fontId="1" fillId="0" borderId="3" applyFont="0" applyFill="0" applyAlignment="0" applyProtection="0"/>
    <xf numFmtId="0" fontId="16" fillId="0" borderId="0" applyNumberFormat="0" applyFill="0" applyBorder="0" applyAlignment="0" applyProtection="0"/>
    <xf numFmtId="0" fontId="9" fillId="0" borderId="0" applyNumberFormat="0" applyFill="0" applyAlignment="0" applyProtection="0"/>
    <xf numFmtId="0" fontId="9" fillId="0" borderId="0" applyNumberFormat="0" applyFill="0" applyProtection="0">
      <alignment vertical="top"/>
    </xf>
    <xf numFmtId="0" fontId="1" fillId="0" borderId="0" applyNumberFormat="0" applyFill="0" applyProtection="0">
      <alignment horizontal="right" indent="1"/>
    </xf>
    <xf numFmtId="179" fontId="1" fillId="0" borderId="3">
      <alignment horizontal="center" vertical="center"/>
    </xf>
    <xf numFmtId="178" fontId="1" fillId="0" borderId="2" applyFill="0">
      <alignment horizontal="center" vertical="center"/>
    </xf>
    <xf numFmtId="0" fontId="1" fillId="0" borderId="2" applyFill="0">
      <alignment horizontal="center" vertical="center"/>
    </xf>
    <xf numFmtId="0" fontId="1" fillId="0" borderId="2" applyFill="0">
      <alignment horizontal="left" vertical="center" indent="2"/>
    </xf>
    <xf numFmtId="0" fontId="7" fillId="0" borderId="0" applyNumberFormat="0" applyFill="0" applyBorder="0" applyAlignment="0" applyProtection="0"/>
    <xf numFmtId="176"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0" fontId="10" fillId="0" borderId="0" applyNumberFormat="0" applyFill="0" applyBorder="0" applyAlignment="0" applyProtection="0"/>
    <xf numFmtId="0" fontId="8" fillId="14" borderId="0" applyNumberFormat="0" applyBorder="0" applyAlignment="0" applyProtection="0"/>
    <xf numFmtId="0" fontId="3" fillId="15" borderId="0" applyNumberFormat="0" applyBorder="0" applyAlignment="0" applyProtection="0"/>
    <xf numFmtId="0" fontId="14" fillId="16" borderId="0" applyNumberFormat="0" applyBorder="0" applyAlignment="0" applyProtection="0"/>
    <xf numFmtId="0" fontId="12" fillId="17" borderId="11" applyNumberFormat="0" applyAlignment="0" applyProtection="0"/>
    <xf numFmtId="0" fontId="15" fillId="18" borderId="12" applyNumberFormat="0" applyAlignment="0" applyProtection="0"/>
    <xf numFmtId="0" fontId="4" fillId="18" borderId="11" applyNumberFormat="0" applyAlignment="0" applyProtection="0"/>
    <xf numFmtId="0" fontId="13" fillId="0" borderId="13" applyNumberFormat="0" applyFill="0" applyAlignment="0" applyProtection="0"/>
    <xf numFmtId="0" fontId="5" fillId="19" borderId="14" applyNumberFormat="0" applyAlignment="0" applyProtection="0"/>
    <xf numFmtId="0" fontId="18" fillId="0" borderId="0" applyNumberFormat="0" applyFill="0" applyBorder="0" applyAlignment="0" applyProtection="0"/>
    <xf numFmtId="0" fontId="1" fillId="20" borderId="15" applyNumberFormat="0" applyFont="0" applyAlignment="0" applyProtection="0"/>
    <xf numFmtId="0" fontId="6" fillId="0" borderId="0" applyNumberFormat="0" applyFill="0" applyBorder="0" applyAlignment="0" applyProtection="0"/>
    <xf numFmtId="0" fontId="17" fillId="0" borderId="16" applyNumberFormat="0" applyFill="0" applyAlignment="0" applyProtection="0"/>
    <xf numFmtId="0" fontId="2"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2"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2"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2" fillId="37"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2" fillId="41"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cellStyleXfs>
  <cellXfs count="116">
    <xf numFmtId="0" fontId="0" fillId="0" borderId="0" xfId="0"/>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3"/>
    <xf numFmtId="0" fontId="2" fillId="0" borderId="0" xfId="3" applyAlignment="1">
      <alignment wrapText="1"/>
    </xf>
    <xf numFmtId="0" fontId="0" fillId="0" borderId="0" xfId="0" applyAlignment="1">
      <alignment wrapText="1"/>
    </xf>
    <xf numFmtId="0" fontId="1" fillId="8" borderId="2" xfId="11" applyFill="1">
      <alignment horizontal="center" vertical="center"/>
    </xf>
    <xf numFmtId="0" fontId="1" fillId="9" borderId="2" xfId="11" applyFill="1">
      <alignment horizontal="center" vertical="center"/>
    </xf>
    <xf numFmtId="0" fontId="1" fillId="6" borderId="2" xfId="11" applyFill="1">
      <alignment horizontal="center" vertical="center"/>
    </xf>
    <xf numFmtId="0" fontId="1" fillId="5" borderId="2" xfId="11" applyFill="1">
      <alignment horizontal="center" vertical="center"/>
    </xf>
    <xf numFmtId="0" fontId="1" fillId="10" borderId="2" xfId="11" applyFill="1">
      <alignment horizontal="center" vertical="center"/>
    </xf>
    <xf numFmtId="0" fontId="1" fillId="10" borderId="2" xfId="12" applyFill="1">
      <alignment horizontal="left" vertical="center" indent="2"/>
    </xf>
    <xf numFmtId="0" fontId="0" fillId="0" borderId="10" xfId="0" applyBorder="1"/>
    <xf numFmtId="0" fontId="19" fillId="0" borderId="0" xfId="0" applyFont="1" applyAlignment="1">
      <alignment horizontal="left"/>
    </xf>
    <xf numFmtId="0" fontId="20" fillId="0" borderId="0" xfId="0" applyFont="1"/>
    <xf numFmtId="0" fontId="20" fillId="0" borderId="0" xfId="0" applyFont="1" applyAlignment="1">
      <alignment horizontal="center"/>
    </xf>
    <xf numFmtId="0" fontId="20" fillId="0" borderId="0" xfId="0" applyFont="1" applyAlignment="1">
      <alignment horizontal="center" vertical="center"/>
    </xf>
    <xf numFmtId="0" fontId="21" fillId="0" borderId="0" xfId="0" applyFont="1"/>
    <xf numFmtId="0" fontId="20" fillId="0" borderId="0" xfId="1" applyFont="1" applyProtection="1">
      <alignment vertical="top"/>
    </xf>
    <xf numFmtId="0" fontId="23" fillId="13" borderId="1" xfId="0" applyFont="1" applyFill="1" applyBorder="1" applyAlignment="1">
      <alignment horizontal="left" vertical="center" indent="1"/>
    </xf>
    <xf numFmtId="0" fontId="23" fillId="13" borderId="1" xfId="0" applyFont="1" applyFill="1" applyBorder="1" applyAlignment="1">
      <alignment horizontal="center" vertical="center" wrapText="1"/>
    </xf>
    <xf numFmtId="0" fontId="24" fillId="12" borderId="8" xfId="0" applyFont="1" applyFill="1" applyBorder="1" applyAlignment="1">
      <alignment horizontal="center" vertical="center" shrinkToFit="1"/>
    </xf>
    <xf numFmtId="9" fontId="25" fillId="8" borderId="2" xfId="2" applyFont="1" applyFill="1" applyBorder="1" applyAlignment="1">
      <alignment horizontal="center" vertical="center"/>
    </xf>
    <xf numFmtId="0" fontId="25" fillId="0" borderId="2" xfId="0" applyFont="1" applyBorder="1" applyAlignment="1">
      <alignment horizontal="center" vertical="center"/>
    </xf>
    <xf numFmtId="9" fontId="25" fillId="9" borderId="2" xfId="2" applyFont="1" applyFill="1" applyBorder="1" applyAlignment="1">
      <alignment horizontal="center" vertical="center"/>
    </xf>
    <xf numFmtId="9" fontId="25" fillId="6" borderId="2" xfId="2" applyFont="1" applyFill="1" applyBorder="1" applyAlignment="1">
      <alignment horizontal="center" vertical="center"/>
    </xf>
    <xf numFmtId="9" fontId="25" fillId="5" borderId="2" xfId="2" applyFont="1" applyFill="1" applyBorder="1" applyAlignment="1">
      <alignment horizontal="center" vertical="center"/>
    </xf>
    <xf numFmtId="9" fontId="25" fillId="10" borderId="2" xfId="2" applyFont="1" applyFill="1" applyBorder="1" applyAlignment="1">
      <alignment horizontal="center" vertical="center"/>
    </xf>
    <xf numFmtId="0" fontId="26" fillId="2" borderId="2" xfId="0" applyFont="1" applyFill="1" applyBorder="1" applyAlignment="1">
      <alignment horizontal="left" vertical="center" indent="1"/>
    </xf>
    <xf numFmtId="0" fontId="26" fillId="2" borderId="2" xfId="0" applyFont="1" applyFill="1" applyBorder="1" applyAlignment="1">
      <alignment horizontal="center" vertical="center"/>
    </xf>
    <xf numFmtId="9" fontId="25" fillId="2" borderId="2" xfId="2" applyFont="1" applyFill="1" applyBorder="1" applyAlignment="1">
      <alignment horizontal="center" vertical="center"/>
    </xf>
    <xf numFmtId="0" fontId="25" fillId="2" borderId="2" xfId="0" applyFont="1" applyFill="1" applyBorder="1" applyAlignment="1">
      <alignment horizontal="center" vertical="center"/>
    </xf>
    <xf numFmtId="0" fontId="28" fillId="0" borderId="0" xfId="0" applyFont="1"/>
    <xf numFmtId="0" fontId="2" fillId="0" borderId="0" xfId="0" applyFont="1" applyAlignment="1">
      <alignment horizontal="center"/>
    </xf>
    <xf numFmtId="0" fontId="27" fillId="0" borderId="0" xfId="1" applyFont="1" applyAlignment="1" applyProtection="1"/>
    <xf numFmtId="0" fontId="30" fillId="0" borderId="0" xfId="0" applyFont="1" applyAlignment="1">
      <alignment vertical="top"/>
    </xf>
    <xf numFmtId="0" fontId="30" fillId="0" borderId="0" xfId="0" applyFont="1"/>
    <xf numFmtId="0" fontId="31" fillId="0" borderId="0" xfId="0" applyFont="1" applyAlignment="1">
      <alignment horizontal="left" vertical="center"/>
    </xf>
    <xf numFmtId="0" fontId="32" fillId="0" borderId="0" xfId="0" applyFont="1" applyAlignment="1">
      <alignment horizontal="left" vertical="center"/>
    </xf>
    <xf numFmtId="0" fontId="33" fillId="0" borderId="0" xfId="0" applyFont="1" applyAlignment="1">
      <alignment vertical="top"/>
    </xf>
    <xf numFmtId="0" fontId="34" fillId="0" borderId="0" xfId="0" applyFont="1" applyAlignment="1">
      <alignment vertical="top"/>
    </xf>
    <xf numFmtId="0" fontId="30" fillId="0" borderId="0" xfId="0" applyFont="1" applyAlignment="1">
      <alignment horizontal="left" vertical="top"/>
    </xf>
    <xf numFmtId="0" fontId="35" fillId="0" borderId="0" xfId="0" applyFont="1" applyAlignment="1">
      <alignment vertical="center"/>
    </xf>
    <xf numFmtId="0" fontId="36" fillId="0" borderId="0" xfId="0" applyFont="1"/>
    <xf numFmtId="0" fontId="37" fillId="0" borderId="0" xfId="0" applyFont="1" applyAlignment="1">
      <alignment horizontal="left" vertical="top" wrapText="1" indent="1"/>
    </xf>
    <xf numFmtId="0" fontId="38" fillId="0" borderId="0" xfId="0" applyFont="1" applyAlignment="1">
      <alignment vertical="top" wrapText="1"/>
    </xf>
    <xf numFmtId="0" fontId="39" fillId="0" borderId="0" xfId="1" applyFont="1" applyAlignment="1" applyProtection="1">
      <alignment horizontal="left" vertical="top"/>
    </xf>
    <xf numFmtId="178" fontId="0" fillId="8" borderId="2" xfId="0" applyNumberFormat="1" applyFill="1" applyBorder="1" applyAlignment="1">
      <alignment horizontal="center" vertical="center"/>
    </xf>
    <xf numFmtId="178" fontId="25" fillId="8" borderId="2" xfId="0" applyNumberFormat="1" applyFont="1" applyFill="1" applyBorder="1" applyAlignment="1">
      <alignment horizontal="center" vertical="center"/>
    </xf>
    <xf numFmtId="180" fontId="22" fillId="7" borderId="6" xfId="0" applyNumberFormat="1" applyFont="1" applyFill="1" applyBorder="1" applyAlignment="1">
      <alignment horizontal="center" vertical="center"/>
    </xf>
    <xf numFmtId="180" fontId="22" fillId="7" borderId="0" xfId="0" applyNumberFormat="1" applyFont="1" applyFill="1" applyAlignment="1">
      <alignment horizontal="center" vertical="center"/>
    </xf>
    <xf numFmtId="180" fontId="22" fillId="7" borderId="7" xfId="0" applyNumberFormat="1" applyFont="1" applyFill="1" applyBorder="1" applyAlignment="1">
      <alignment horizontal="center" vertical="center"/>
    </xf>
    <xf numFmtId="181" fontId="0" fillId="9" borderId="2" xfId="0" applyNumberFormat="1" applyFill="1" applyBorder="1" applyAlignment="1">
      <alignment horizontal="center" vertical="center"/>
    </xf>
    <xf numFmtId="181" fontId="25" fillId="9" borderId="2" xfId="0" applyNumberFormat="1" applyFont="1" applyFill="1" applyBorder="1" applyAlignment="1">
      <alignment horizontal="center" vertical="center"/>
    </xf>
    <xf numFmtId="181" fontId="0" fillId="6" borderId="2" xfId="0" applyNumberFormat="1" applyFill="1" applyBorder="1" applyAlignment="1">
      <alignment horizontal="center" vertical="center"/>
    </xf>
    <xf numFmtId="181" fontId="25" fillId="6" borderId="2" xfId="0" applyNumberFormat="1" applyFont="1" applyFill="1" applyBorder="1" applyAlignment="1">
      <alignment horizontal="center" vertical="center"/>
    </xf>
    <xf numFmtId="181" fontId="0" fillId="5" borderId="2" xfId="0" applyNumberFormat="1" applyFill="1" applyBorder="1" applyAlignment="1">
      <alignment horizontal="center" vertical="center"/>
    </xf>
    <xf numFmtId="181" fontId="25" fillId="5" borderId="2" xfId="0" applyNumberFormat="1" applyFont="1" applyFill="1" applyBorder="1" applyAlignment="1">
      <alignment horizontal="center" vertical="center"/>
    </xf>
    <xf numFmtId="181" fontId="1" fillId="10" borderId="2" xfId="10" applyNumberFormat="1" applyFill="1">
      <alignment horizontal="center" vertical="center"/>
    </xf>
    <xf numFmtId="181" fontId="27" fillId="2" borderId="2" xfId="0" applyNumberFormat="1" applyFont="1" applyFill="1" applyBorder="1" applyAlignment="1">
      <alignment horizontal="left" vertical="center"/>
    </xf>
    <xf numFmtId="181" fontId="25" fillId="2" borderId="2" xfId="0" applyNumberFormat="1" applyFont="1" applyFill="1" applyBorder="1" applyAlignment="1">
      <alignment horizontal="center" vertical="center"/>
    </xf>
    <xf numFmtId="0" fontId="17" fillId="45" borderId="2" xfId="0" applyFont="1" applyFill="1" applyBorder="1" applyAlignment="1">
      <alignment horizontal="left" vertical="center" indent="1"/>
    </xf>
    <xf numFmtId="0" fontId="1" fillId="45" borderId="2" xfId="11" applyFill="1">
      <alignment horizontal="center" vertical="center"/>
    </xf>
    <xf numFmtId="9" fontId="25" fillId="45" borderId="2" xfId="2" applyFont="1" applyFill="1" applyBorder="1" applyAlignment="1">
      <alignment horizontal="center" vertical="center"/>
    </xf>
    <xf numFmtId="181" fontId="0" fillId="45" borderId="2" xfId="0" applyNumberFormat="1" applyFill="1" applyBorder="1" applyAlignment="1">
      <alignment horizontal="center" vertical="center"/>
    </xf>
    <xf numFmtId="181" fontId="25" fillId="45" borderId="2" xfId="0" applyNumberFormat="1" applyFont="1" applyFill="1" applyBorder="1" applyAlignment="1">
      <alignment horizontal="center" vertical="center"/>
    </xf>
    <xf numFmtId="0" fontId="40" fillId="4" borderId="2" xfId="12" applyFont="1" applyFill="1">
      <alignment horizontal="left" vertical="center" indent="2"/>
    </xf>
    <xf numFmtId="0" fontId="40" fillId="4" borderId="2" xfId="11" applyFont="1" applyFill="1">
      <alignment horizontal="center" vertical="center"/>
    </xf>
    <xf numFmtId="9" fontId="41" fillId="4" borderId="2" xfId="2" applyFont="1" applyFill="1" applyBorder="1" applyAlignment="1">
      <alignment horizontal="center" vertical="center"/>
    </xf>
    <xf numFmtId="181" fontId="40" fillId="4" borderId="2" xfId="10" applyNumberFormat="1" applyFont="1" applyFill="1">
      <alignment horizontal="center" vertical="center"/>
    </xf>
    <xf numFmtId="0" fontId="40" fillId="11" borderId="2" xfId="12" applyFont="1" applyFill="1">
      <alignment horizontal="left" vertical="center" indent="2"/>
    </xf>
    <xf numFmtId="0" fontId="40" fillId="11" borderId="2" xfId="11" applyFont="1" applyFill="1">
      <alignment horizontal="center" vertical="center"/>
    </xf>
    <xf numFmtId="9" fontId="41" fillId="11" borderId="2" xfId="2" applyFont="1" applyFill="1" applyBorder="1" applyAlignment="1">
      <alignment horizontal="center" vertical="center"/>
    </xf>
    <xf numFmtId="181" fontId="40" fillId="11" borderId="2" xfId="10" applyNumberFormat="1" applyFont="1" applyFill="1">
      <alignment horizontal="center" vertical="center"/>
    </xf>
    <xf numFmtId="0" fontId="18" fillId="3" borderId="2" xfId="12" applyFont="1" applyFill="1">
      <alignment horizontal="left" vertical="center" indent="2"/>
    </xf>
    <xf numFmtId="0" fontId="42" fillId="3" borderId="2" xfId="11" applyFont="1" applyFill="1">
      <alignment horizontal="center" vertical="center"/>
    </xf>
    <xf numFmtId="9" fontId="42" fillId="3" borderId="2" xfId="2" applyFont="1" applyFill="1" applyBorder="1" applyAlignment="1">
      <alignment horizontal="center" vertical="center"/>
    </xf>
    <xf numFmtId="181" fontId="42" fillId="3" borderId="2" xfId="10" applyNumberFormat="1" applyFont="1" applyFill="1">
      <alignment horizontal="center" vertical="center"/>
    </xf>
    <xf numFmtId="0" fontId="43" fillId="8" borderId="2" xfId="0" applyFont="1" applyFill="1" applyBorder="1" applyAlignment="1">
      <alignment horizontal="left" vertical="center" indent="1"/>
    </xf>
    <xf numFmtId="0" fontId="43" fillId="9" borderId="2" xfId="0" applyFont="1" applyFill="1" applyBorder="1" applyAlignment="1">
      <alignment horizontal="left" vertical="center" indent="1"/>
    </xf>
    <xf numFmtId="0" fontId="42" fillId="4" borderId="2" xfId="12" applyFont="1" applyFill="1">
      <alignment horizontal="left" vertical="center" indent="2"/>
    </xf>
    <xf numFmtId="0" fontId="18" fillId="4" borderId="2" xfId="11" applyFont="1" applyFill="1">
      <alignment horizontal="center" vertical="center"/>
    </xf>
    <xf numFmtId="9" fontId="42" fillId="4" borderId="2" xfId="2" applyFont="1" applyFill="1" applyBorder="1" applyAlignment="1">
      <alignment horizontal="center" vertical="center"/>
    </xf>
    <xf numFmtId="181" fontId="42" fillId="4" borderId="2" xfId="10" applyNumberFormat="1" applyFont="1" applyFill="1">
      <alignment horizontal="center" vertical="center"/>
    </xf>
    <xf numFmtId="0" fontId="42" fillId="4" borderId="2" xfId="11" applyFont="1" applyFill="1">
      <alignment horizontal="center" vertical="center"/>
    </xf>
    <xf numFmtId="0" fontId="43" fillId="6" borderId="2" xfId="0" applyFont="1" applyFill="1" applyBorder="1" applyAlignment="1">
      <alignment horizontal="left" vertical="center" indent="1"/>
    </xf>
    <xf numFmtId="0" fontId="42" fillId="11" borderId="2" xfId="12" applyFont="1" applyFill="1">
      <alignment horizontal="left" vertical="center" indent="2"/>
    </xf>
    <xf numFmtId="0" fontId="18" fillId="11" borderId="2" xfId="11" applyFont="1" applyFill="1">
      <alignment horizontal="center" vertical="center"/>
    </xf>
    <xf numFmtId="9" fontId="42" fillId="11" borderId="2" xfId="2" applyFont="1" applyFill="1" applyBorder="1" applyAlignment="1">
      <alignment horizontal="center" vertical="center"/>
    </xf>
    <xf numFmtId="181" fontId="42" fillId="11" borderId="2" xfId="10" applyNumberFormat="1" applyFont="1" applyFill="1">
      <alignment horizontal="center" vertical="center"/>
    </xf>
    <xf numFmtId="0" fontId="42" fillId="11" borderId="2" xfId="11" applyFont="1" applyFill="1">
      <alignment horizontal="center" vertical="center"/>
    </xf>
    <xf numFmtId="0" fontId="43" fillId="5" borderId="2" xfId="0" applyFont="1" applyFill="1" applyBorder="1" applyAlignment="1">
      <alignment horizontal="left" vertical="center" indent="1"/>
    </xf>
    <xf numFmtId="0" fontId="42" fillId="10" borderId="2" xfId="12" applyFont="1" applyFill="1">
      <alignment horizontal="left" vertical="center" indent="2"/>
    </xf>
    <xf numFmtId="0" fontId="18" fillId="10" borderId="2" xfId="11" applyFont="1" applyFill="1">
      <alignment horizontal="center" vertical="center"/>
    </xf>
    <xf numFmtId="0" fontId="42" fillId="10" borderId="2" xfId="11" applyFont="1" applyFill="1">
      <alignment horizontal="center" vertical="center"/>
    </xf>
    <xf numFmtId="181" fontId="18" fillId="10" borderId="2" xfId="10" applyNumberFormat="1" applyFont="1" applyFill="1">
      <alignment horizontal="center" vertical="center"/>
    </xf>
    <xf numFmtId="181" fontId="42" fillId="10" borderId="2" xfId="10" applyNumberFormat="1" applyFont="1" applyFill="1">
      <alignment horizontal="center" vertical="center"/>
    </xf>
    <xf numFmtId="0" fontId="17" fillId="0" borderId="2" xfId="0" applyFont="1" applyBorder="1" applyAlignment="1">
      <alignment horizontal="left" vertical="center" indent="1"/>
    </xf>
    <xf numFmtId="0" fontId="1" fillId="0" borderId="2" xfId="11" applyFill="1">
      <alignment horizontal="center" vertical="center"/>
    </xf>
    <xf numFmtId="9" fontId="25" fillId="0" borderId="2" xfId="2" applyFont="1" applyFill="1" applyBorder="1" applyAlignment="1">
      <alignment horizontal="center" vertical="center"/>
    </xf>
    <xf numFmtId="181" fontId="0" fillId="0" borderId="2" xfId="0" applyNumberFormat="1" applyBorder="1" applyAlignment="1">
      <alignment horizontal="center" vertical="center"/>
    </xf>
    <xf numFmtId="181" fontId="25" fillId="0" borderId="2" xfId="0" applyNumberFormat="1" applyFont="1" applyBorder="1" applyAlignment="1">
      <alignment horizontal="center" vertical="center"/>
    </xf>
    <xf numFmtId="0" fontId="44" fillId="0" borderId="0" xfId="5" applyFont="1" applyAlignment="1">
      <alignment horizontal="left"/>
    </xf>
    <xf numFmtId="0" fontId="45" fillId="0" borderId="0" xfId="6" applyFont="1"/>
    <xf numFmtId="0" fontId="46" fillId="0" borderId="0" xfId="7" applyFont="1">
      <alignment vertical="top"/>
    </xf>
    <xf numFmtId="14" fontId="0" fillId="7" borderId="4" xfId="0" applyNumberFormat="1" applyFill="1" applyBorder="1" applyAlignment="1">
      <alignment horizontal="left" vertical="center" wrapText="1" indent="1"/>
    </xf>
    <xf numFmtId="14" fontId="0" fillId="7" borderId="1" xfId="0" applyNumberFormat="1" applyFill="1" applyBorder="1" applyAlignment="1">
      <alignment horizontal="left" vertical="center" wrapText="1" indent="1"/>
    </xf>
    <xf numFmtId="14" fontId="0" fillId="7" borderId="5" xfId="0" applyNumberFormat="1" applyFill="1" applyBorder="1" applyAlignment="1">
      <alignment horizontal="left" vertical="center" wrapText="1" indent="1"/>
    </xf>
    <xf numFmtId="0" fontId="1" fillId="0" borderId="0" xfId="8" applyAlignment="1">
      <alignment horizontal="right" indent="1"/>
    </xf>
    <xf numFmtId="0" fontId="1" fillId="0" borderId="7" xfId="8" applyBorder="1" applyAlignment="1">
      <alignment horizontal="right" indent="1"/>
    </xf>
    <xf numFmtId="179" fontId="1" fillId="0" borderId="3" xfId="9" applyAlignment="1">
      <alignment horizontal="center" vertical="center"/>
    </xf>
  </cellXfs>
  <cellStyles count="54">
    <cellStyle name="20% - アクセント 1" xfId="31" builtinId="30" customBuiltin="1"/>
    <cellStyle name="20% - アクセント 2" xfId="35" builtinId="34" customBuiltin="1"/>
    <cellStyle name="20% - アクセント 3" xfId="39" builtinId="38" customBuiltin="1"/>
    <cellStyle name="20% - アクセント 4" xfId="43" builtinId="42" customBuiltin="1"/>
    <cellStyle name="20% - アクセント 5" xfId="47" builtinId="46" customBuiltin="1"/>
    <cellStyle name="20% - アクセント 6" xfId="51" builtinId="50" customBuiltin="1"/>
    <cellStyle name="40% - アクセント 1" xfId="32" builtinId="31" customBuiltin="1"/>
    <cellStyle name="40% - アクセント 2" xfId="36" builtinId="35" customBuiltin="1"/>
    <cellStyle name="40% - アクセント 3" xfId="40" builtinId="39" customBuiltin="1"/>
    <cellStyle name="40% - アクセント 4" xfId="44" builtinId="43" customBuiltin="1"/>
    <cellStyle name="40% - アクセント 5" xfId="48" builtinId="47" customBuiltin="1"/>
    <cellStyle name="40% - アクセント 6" xfId="52" builtinId="51" customBuiltin="1"/>
    <cellStyle name="60% - アクセント 1" xfId="33" builtinId="32" customBuiltin="1"/>
    <cellStyle name="60% - アクセント 2" xfId="37" builtinId="36" customBuiltin="1"/>
    <cellStyle name="60% - アクセント 3" xfId="41" builtinId="40" customBuiltin="1"/>
    <cellStyle name="60% - アクセント 4" xfId="45" builtinId="44" customBuiltin="1"/>
    <cellStyle name="60% - アクセント 5" xfId="49" builtinId="48" customBuiltin="1"/>
    <cellStyle name="60% - アクセント 6" xfId="53" builtinId="52" customBuiltin="1"/>
    <cellStyle name="z_非表示_テキスト" xfId="3" xr:uid="{26E66EE6-E33F-4D77-BAE4-0FB4F5BBF673}"/>
    <cellStyle name="アクセント 1" xfId="30" builtinId="29" customBuiltin="1"/>
    <cellStyle name="アクセント 2" xfId="34" builtinId="33" customBuiltin="1"/>
    <cellStyle name="アクセント 3" xfId="38" builtinId="37" customBuiltin="1"/>
    <cellStyle name="アクセント 4" xfId="42" builtinId="41" customBuiltin="1"/>
    <cellStyle name="アクセント 5" xfId="46" builtinId="45" customBuiltin="1"/>
    <cellStyle name="アクセント 6" xfId="50" builtinId="49" customBuiltin="1"/>
    <cellStyle name="タイトル" xfId="5" builtinId="15" customBuiltin="1"/>
    <cellStyle name="タスク" xfId="12" xr:uid="{6391D789-272B-4DD2-9BF3-2CDCF610FA41}"/>
    <cellStyle name="チェック セル" xfId="25" builtinId="23" customBuiltin="1"/>
    <cellStyle name="どちらでもない" xfId="20" builtinId="28" customBuiltin="1"/>
    <cellStyle name="パーセント" xfId="2" builtinId="5" customBuiltin="1"/>
    <cellStyle name="ハイパーリンク" xfId="1" builtinId="8" customBuiltin="1"/>
    <cellStyle name="プロジェクトの開始" xfId="9" xr:uid="{8EB8A09A-C31C-40A3-B2C1-9449520178B8}"/>
    <cellStyle name="メモ" xfId="27" builtinId="10" customBuiltin="1"/>
    <cellStyle name="リンク セル" xfId="24" builtinId="24" customBuiltin="1"/>
    <cellStyle name="悪い" xfId="19" builtinId="27" customBuiltin="1"/>
    <cellStyle name="計算" xfId="23" builtinId="22" customBuiltin="1"/>
    <cellStyle name="警告文" xfId="26" builtinId="11" customBuiltin="1"/>
    <cellStyle name="桁区切り" xfId="14" builtinId="6" customBuiltin="1"/>
    <cellStyle name="桁区切り [0.00]" xfId="4" builtinId="3" customBuiltin="1"/>
    <cellStyle name="見出し 1" xfId="6" builtinId="16" customBuiltin="1"/>
    <cellStyle name="見出し 2" xfId="7" builtinId="17" customBuiltin="1"/>
    <cellStyle name="見出し 3" xfId="8" builtinId="18" customBuiltin="1"/>
    <cellStyle name="見出し 4" xfId="17" builtinId="19" customBuiltin="1"/>
    <cellStyle name="集計" xfId="29" builtinId="25" customBuiltin="1"/>
    <cellStyle name="出力" xfId="22" builtinId="21" customBuiltin="1"/>
    <cellStyle name="説明文" xfId="28" builtinId="53" customBuiltin="1"/>
    <cellStyle name="通貨" xfId="16" builtinId="7" customBuiltin="1"/>
    <cellStyle name="通貨 [0.00]" xfId="15" builtinId="4" customBuiltin="1"/>
    <cellStyle name="日付" xfId="10" xr:uid="{229918B6-DD13-4F5A-97B9-305F7E002AA3}"/>
    <cellStyle name="入力" xfId="21" builtinId="20" customBuiltin="1"/>
    <cellStyle name="標準" xfId="0" builtinId="0" customBuiltin="1"/>
    <cellStyle name="表示済みのハイパーリンク" xfId="13" builtinId="9" customBuiltin="1"/>
    <cellStyle name="名前" xfId="11" xr:uid="{B2D3C1EE-6B41-4801-AAFC-C2274E49E503}"/>
    <cellStyle name="良い" xfId="18" builtinId="26" customBuiltin="1"/>
  </cellStyles>
  <dxfs count="14">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作業リスト" pivot="0" count="9" xr9:uid="{00000000-0011-0000-FFFF-FFFF00000000}">
      <tableStyleElement type="wholeTable" dxfId="13"/>
      <tableStyleElement type="headerRow" dxfId="12"/>
      <tableStyleElement type="totalRow" dxfId="11"/>
      <tableStyleElement type="firstColumn" dxfId="10"/>
      <tableStyleElement type="lastColumn" dxfId="9"/>
      <tableStyleElement type="firstRowStripe" dxfId="8"/>
      <tableStyleElement type="secondRowStripe" dxfId="7"/>
      <tableStyleElement type="firstColumnStripe" dxfId="6"/>
      <tableStyleElement type="secondColumnStripe" dxfId="5"/>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画像 1" descr="Vertex42 ロゴ">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X37"/>
  <sheetViews>
    <sheetView showGridLines="0" tabSelected="1" showRuler="0" zoomScale="71" zoomScaleNormal="100" zoomScalePageLayoutView="70" workbookViewId="0">
      <pane ySplit="6" topLeftCell="A23" activePane="bottomLeft" state="frozen"/>
      <selection pane="bottomLeft" activeCell="D31" sqref="D31"/>
    </sheetView>
  </sheetViews>
  <sheetFormatPr defaultRowHeight="30" customHeight="1"/>
  <cols>
    <col min="1" max="1" width="2.5546875" style="8" customWidth="1"/>
    <col min="2" max="2" width="19.77734375" customWidth="1"/>
    <col min="3" max="3" width="30.5546875" customWidth="1"/>
    <col min="4" max="4" width="10.5546875" customWidth="1"/>
    <col min="5" max="5" width="10.21875" style="2" customWidth="1"/>
    <col min="6" max="6" width="10.21875" customWidth="1"/>
    <col min="7" max="7" width="2.5546875" customWidth="1"/>
    <col min="8" max="8" width="6" hidden="1" customWidth="1"/>
    <col min="9" max="50" width="2.44140625" customWidth="1"/>
    <col min="52" max="54" width="7.21875"/>
    <col min="55" max="56" width="8.44140625"/>
  </cols>
  <sheetData>
    <row r="1" spans="1:50" ht="30" customHeight="1">
      <c r="A1" s="9" t="s">
        <v>0</v>
      </c>
      <c r="B1" s="107" t="s">
        <v>1</v>
      </c>
      <c r="C1" s="18"/>
      <c r="D1" s="19"/>
      <c r="E1" s="20"/>
      <c r="F1" s="21"/>
      <c r="H1" s="19"/>
      <c r="I1" s="22" t="s">
        <v>2</v>
      </c>
    </row>
    <row r="2" spans="1:50" ht="19.5">
      <c r="A2" s="8" t="s">
        <v>3</v>
      </c>
      <c r="B2" s="108" t="s">
        <v>4</v>
      </c>
      <c r="I2" s="23" t="s">
        <v>5</v>
      </c>
    </row>
    <row r="3" spans="1:50" ht="19.5">
      <c r="A3" s="8" t="s">
        <v>6</v>
      </c>
      <c r="B3" s="109" t="s">
        <v>7</v>
      </c>
      <c r="C3" s="113" t="s">
        <v>8</v>
      </c>
      <c r="D3" s="114"/>
      <c r="E3" s="115">
        <v>45471</v>
      </c>
      <c r="F3" s="115"/>
    </row>
    <row r="4" spans="1:50" ht="21" customHeight="1">
      <c r="A4" s="9" t="s">
        <v>9</v>
      </c>
      <c r="B4" t="s">
        <v>10</v>
      </c>
      <c r="C4" s="113" t="s">
        <v>11</v>
      </c>
      <c r="D4" s="114"/>
      <c r="E4" s="4">
        <v>1</v>
      </c>
      <c r="I4" s="110">
        <f>I5</f>
        <v>45467</v>
      </c>
      <c r="J4" s="111"/>
      <c r="K4" s="111"/>
      <c r="L4" s="111"/>
      <c r="M4" s="111"/>
      <c r="N4" s="111"/>
      <c r="O4" s="112"/>
      <c r="P4" s="110">
        <f>P5</f>
        <v>45474</v>
      </c>
      <c r="Q4" s="111"/>
      <c r="R4" s="111"/>
      <c r="S4" s="111"/>
      <c r="T4" s="111"/>
      <c r="U4" s="111"/>
      <c r="V4" s="112"/>
      <c r="W4" s="110">
        <f>W5</f>
        <v>45481</v>
      </c>
      <c r="X4" s="111"/>
      <c r="Y4" s="111"/>
      <c r="Z4" s="111"/>
      <c r="AA4" s="111"/>
      <c r="AB4" s="111"/>
      <c r="AC4" s="112"/>
      <c r="AD4" s="110">
        <f>AD5</f>
        <v>45488</v>
      </c>
      <c r="AE4" s="111"/>
      <c r="AF4" s="111"/>
      <c r="AG4" s="111"/>
      <c r="AH4" s="111"/>
      <c r="AI4" s="111"/>
      <c r="AJ4" s="112"/>
      <c r="AK4" s="110">
        <f>AK5</f>
        <v>45495</v>
      </c>
      <c r="AL4" s="111"/>
      <c r="AM4" s="111"/>
      <c r="AN4" s="111"/>
      <c r="AO4" s="111"/>
      <c r="AP4" s="111"/>
      <c r="AQ4" s="112"/>
      <c r="AR4" s="110">
        <f>AR5</f>
        <v>45502</v>
      </c>
      <c r="AS4" s="111"/>
      <c r="AT4" s="111"/>
      <c r="AU4" s="111"/>
      <c r="AV4" s="111"/>
      <c r="AW4" s="111"/>
      <c r="AX4" s="112"/>
    </row>
    <row r="5" spans="1:50" ht="15" customHeight="1">
      <c r="A5" s="9" t="s">
        <v>12</v>
      </c>
      <c r="B5" s="17"/>
      <c r="C5" s="17"/>
      <c r="D5" s="17"/>
      <c r="E5" s="17"/>
      <c r="F5" s="17"/>
      <c r="G5" s="17"/>
      <c r="I5" s="54">
        <f>プロジェクトの開始-WEEKDAY(プロジェクトの開始,1)+2+7*(週表示-1)</f>
        <v>45467</v>
      </c>
      <c r="J5" s="55">
        <f>I5+1</f>
        <v>45468</v>
      </c>
      <c r="K5" s="55">
        <f t="shared" ref="K5:AX5" si="0">J5+1</f>
        <v>45469</v>
      </c>
      <c r="L5" s="55">
        <f t="shared" si="0"/>
        <v>45470</v>
      </c>
      <c r="M5" s="55">
        <f t="shared" si="0"/>
        <v>45471</v>
      </c>
      <c r="N5" s="55">
        <f t="shared" si="0"/>
        <v>45472</v>
      </c>
      <c r="O5" s="56">
        <f t="shared" si="0"/>
        <v>45473</v>
      </c>
      <c r="P5" s="54">
        <f>O5+1</f>
        <v>45474</v>
      </c>
      <c r="Q5" s="55">
        <f>P5+1</f>
        <v>45475</v>
      </c>
      <c r="R5" s="55">
        <f t="shared" si="0"/>
        <v>45476</v>
      </c>
      <c r="S5" s="55">
        <f t="shared" si="0"/>
        <v>45477</v>
      </c>
      <c r="T5" s="55">
        <f t="shared" si="0"/>
        <v>45478</v>
      </c>
      <c r="U5" s="55">
        <f t="shared" si="0"/>
        <v>45479</v>
      </c>
      <c r="V5" s="56">
        <f t="shared" si="0"/>
        <v>45480</v>
      </c>
      <c r="W5" s="54">
        <f>V5+1</f>
        <v>45481</v>
      </c>
      <c r="X5" s="55">
        <f>W5+1</f>
        <v>45482</v>
      </c>
      <c r="Y5" s="55">
        <f t="shared" si="0"/>
        <v>45483</v>
      </c>
      <c r="Z5" s="55">
        <f t="shared" si="0"/>
        <v>45484</v>
      </c>
      <c r="AA5" s="55">
        <f t="shared" si="0"/>
        <v>45485</v>
      </c>
      <c r="AB5" s="55">
        <f t="shared" si="0"/>
        <v>45486</v>
      </c>
      <c r="AC5" s="56">
        <f t="shared" si="0"/>
        <v>45487</v>
      </c>
      <c r="AD5" s="54">
        <f>AC5+1</f>
        <v>45488</v>
      </c>
      <c r="AE5" s="55">
        <f>AD5+1</f>
        <v>45489</v>
      </c>
      <c r="AF5" s="55">
        <f t="shared" si="0"/>
        <v>45490</v>
      </c>
      <c r="AG5" s="55">
        <f t="shared" si="0"/>
        <v>45491</v>
      </c>
      <c r="AH5" s="55">
        <f t="shared" si="0"/>
        <v>45492</v>
      </c>
      <c r="AI5" s="55">
        <f t="shared" si="0"/>
        <v>45493</v>
      </c>
      <c r="AJ5" s="56">
        <f t="shared" si="0"/>
        <v>45494</v>
      </c>
      <c r="AK5" s="54">
        <f>AJ5+1</f>
        <v>45495</v>
      </c>
      <c r="AL5" s="55">
        <f>AK5+1</f>
        <v>45496</v>
      </c>
      <c r="AM5" s="55">
        <f t="shared" si="0"/>
        <v>45497</v>
      </c>
      <c r="AN5" s="55">
        <f t="shared" si="0"/>
        <v>45498</v>
      </c>
      <c r="AO5" s="55">
        <f t="shared" si="0"/>
        <v>45499</v>
      </c>
      <c r="AP5" s="55">
        <f t="shared" si="0"/>
        <v>45500</v>
      </c>
      <c r="AQ5" s="56">
        <f t="shared" si="0"/>
        <v>45501</v>
      </c>
      <c r="AR5" s="54">
        <f>AQ5+1</f>
        <v>45502</v>
      </c>
      <c r="AS5" s="55">
        <f>AR5+1</f>
        <v>45503</v>
      </c>
      <c r="AT5" s="55">
        <f t="shared" si="0"/>
        <v>45504</v>
      </c>
      <c r="AU5" s="55">
        <f t="shared" si="0"/>
        <v>45505</v>
      </c>
      <c r="AV5" s="55">
        <f t="shared" si="0"/>
        <v>45506</v>
      </c>
      <c r="AW5" s="55">
        <f t="shared" si="0"/>
        <v>45507</v>
      </c>
      <c r="AX5" s="56">
        <f t="shared" si="0"/>
        <v>45508</v>
      </c>
    </row>
    <row r="6" spans="1:50" ht="20.45" customHeight="1" thickBot="1">
      <c r="A6" s="9" t="s">
        <v>13</v>
      </c>
      <c r="B6" s="24" t="s">
        <v>14</v>
      </c>
      <c r="C6" s="25" t="s">
        <v>15</v>
      </c>
      <c r="D6" s="25" t="s">
        <v>16</v>
      </c>
      <c r="E6" s="25" t="s">
        <v>17</v>
      </c>
      <c r="F6" s="25" t="s">
        <v>18</v>
      </c>
      <c r="G6" s="25"/>
      <c r="H6" s="25" t="s">
        <v>19</v>
      </c>
      <c r="I6" s="26" t="str">
        <f t="shared" ref="I6:AN6" si="1">LEFT(TEXT(I5,"aaa"),1)</f>
        <v>月</v>
      </c>
      <c r="J6" s="26" t="str">
        <f t="shared" si="1"/>
        <v>火</v>
      </c>
      <c r="K6" s="26" t="str">
        <f t="shared" si="1"/>
        <v>水</v>
      </c>
      <c r="L6" s="26" t="str">
        <f t="shared" si="1"/>
        <v>木</v>
      </c>
      <c r="M6" s="26" t="str">
        <f t="shared" si="1"/>
        <v>金</v>
      </c>
      <c r="N6" s="26" t="str">
        <f t="shared" si="1"/>
        <v>土</v>
      </c>
      <c r="O6" s="26" t="str">
        <f t="shared" si="1"/>
        <v>日</v>
      </c>
      <c r="P6" s="26" t="str">
        <f t="shared" si="1"/>
        <v>月</v>
      </c>
      <c r="Q6" s="26" t="str">
        <f t="shared" si="1"/>
        <v>火</v>
      </c>
      <c r="R6" s="26" t="str">
        <f t="shared" si="1"/>
        <v>水</v>
      </c>
      <c r="S6" s="26" t="str">
        <f t="shared" si="1"/>
        <v>木</v>
      </c>
      <c r="T6" s="26" t="str">
        <f t="shared" si="1"/>
        <v>金</v>
      </c>
      <c r="U6" s="26" t="str">
        <f t="shared" si="1"/>
        <v>土</v>
      </c>
      <c r="V6" s="26" t="str">
        <f t="shared" si="1"/>
        <v>日</v>
      </c>
      <c r="W6" s="26" t="str">
        <f t="shared" si="1"/>
        <v>月</v>
      </c>
      <c r="X6" s="26" t="str">
        <f t="shared" si="1"/>
        <v>火</v>
      </c>
      <c r="Y6" s="26" t="str">
        <f t="shared" si="1"/>
        <v>水</v>
      </c>
      <c r="Z6" s="26" t="str">
        <f t="shared" si="1"/>
        <v>木</v>
      </c>
      <c r="AA6" s="26" t="str">
        <f t="shared" si="1"/>
        <v>金</v>
      </c>
      <c r="AB6" s="26" t="str">
        <f t="shared" si="1"/>
        <v>土</v>
      </c>
      <c r="AC6" s="26" t="str">
        <f t="shared" si="1"/>
        <v>日</v>
      </c>
      <c r="AD6" s="26" t="str">
        <f t="shared" si="1"/>
        <v>月</v>
      </c>
      <c r="AE6" s="26" t="str">
        <f t="shared" si="1"/>
        <v>火</v>
      </c>
      <c r="AF6" s="26" t="str">
        <f t="shared" si="1"/>
        <v>水</v>
      </c>
      <c r="AG6" s="26" t="str">
        <f t="shared" si="1"/>
        <v>木</v>
      </c>
      <c r="AH6" s="26" t="str">
        <f t="shared" si="1"/>
        <v>金</v>
      </c>
      <c r="AI6" s="26" t="str">
        <f t="shared" si="1"/>
        <v>土</v>
      </c>
      <c r="AJ6" s="26" t="str">
        <f t="shared" si="1"/>
        <v>日</v>
      </c>
      <c r="AK6" s="26" t="str">
        <f t="shared" si="1"/>
        <v>月</v>
      </c>
      <c r="AL6" s="26" t="str">
        <f t="shared" si="1"/>
        <v>火</v>
      </c>
      <c r="AM6" s="26" t="str">
        <f t="shared" si="1"/>
        <v>水</v>
      </c>
      <c r="AN6" s="26" t="str">
        <f t="shared" si="1"/>
        <v>木</v>
      </c>
      <c r="AO6" s="26" t="str">
        <f t="shared" ref="AO6:AX6" si="2">LEFT(TEXT(AO5,"aaa"),1)</f>
        <v>金</v>
      </c>
      <c r="AP6" s="26" t="str">
        <f t="shared" si="2"/>
        <v>土</v>
      </c>
      <c r="AQ6" s="26" t="str">
        <f t="shared" si="2"/>
        <v>日</v>
      </c>
      <c r="AR6" s="26" t="str">
        <f t="shared" si="2"/>
        <v>月</v>
      </c>
      <c r="AS6" s="26" t="str">
        <f t="shared" si="2"/>
        <v>火</v>
      </c>
      <c r="AT6" s="26" t="str">
        <f t="shared" si="2"/>
        <v>水</v>
      </c>
      <c r="AU6" s="26" t="str">
        <f t="shared" si="2"/>
        <v>木</v>
      </c>
      <c r="AV6" s="26" t="str">
        <f t="shared" si="2"/>
        <v>金</v>
      </c>
      <c r="AW6" s="26" t="str">
        <f t="shared" si="2"/>
        <v>土</v>
      </c>
      <c r="AX6" s="26" t="str">
        <f t="shared" si="2"/>
        <v>日</v>
      </c>
    </row>
    <row r="7" spans="1:50" ht="25.15" hidden="1" customHeight="1" thickBot="1">
      <c r="A7" s="8" t="s">
        <v>20</v>
      </c>
      <c r="C7" s="10"/>
      <c r="E7"/>
      <c r="H7" t="str">
        <f ca="1">IF(OR(ISBLANK(タスク_開始),ISBLANK(タスク_終了)),"",タスク_終了-タスク_開始+1)</f>
        <v/>
      </c>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row>
    <row r="8" spans="1:50" s="1" customFormat="1" ht="22.15" customHeight="1" thickBot="1">
      <c r="A8" s="9" t="s">
        <v>21</v>
      </c>
      <c r="B8" s="83" t="s">
        <v>22</v>
      </c>
      <c r="C8" s="11"/>
      <c r="D8" s="27"/>
      <c r="E8" s="52"/>
      <c r="F8" s="53"/>
      <c r="G8" s="28"/>
      <c r="H8" s="28" t="str">
        <f t="shared" ref="H8:H34" ca="1" si="3">IF(OR(ISBLANK(タスク_開始),ISBLANK(タスク_終了)),"",タスク_終了-タスク_開始+1)</f>
        <v/>
      </c>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row>
    <row r="9" spans="1:50" s="1" customFormat="1" ht="22.15" customHeight="1" thickBot="1">
      <c r="A9" s="9" t="s">
        <v>23</v>
      </c>
      <c r="B9" s="79" t="s">
        <v>24</v>
      </c>
      <c r="C9" s="80" t="s">
        <v>25</v>
      </c>
      <c r="D9" s="81">
        <v>0.9</v>
      </c>
      <c r="E9" s="82">
        <f>プロジェクトの開始</f>
        <v>45471</v>
      </c>
      <c r="F9" s="82">
        <v>45475</v>
      </c>
      <c r="G9" s="28"/>
      <c r="H9" s="28">
        <f t="shared" ca="1" si="3"/>
        <v>5</v>
      </c>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row>
    <row r="10" spans="1:50" s="1" customFormat="1" ht="22.15" customHeight="1" thickBot="1">
      <c r="A10" s="9" t="s">
        <v>26</v>
      </c>
      <c r="B10" s="79" t="s">
        <v>27</v>
      </c>
      <c r="C10" s="80" t="s">
        <v>28</v>
      </c>
      <c r="D10" s="81">
        <v>0.5</v>
      </c>
      <c r="E10" s="82">
        <v>45474</v>
      </c>
      <c r="F10" s="82">
        <f>E10+2</f>
        <v>45476</v>
      </c>
      <c r="G10" s="28"/>
      <c r="H10" s="28">
        <f t="shared" ca="1" si="3"/>
        <v>3</v>
      </c>
      <c r="I10" s="5"/>
      <c r="J10" s="5"/>
      <c r="K10" s="5"/>
      <c r="L10" s="5"/>
      <c r="M10" s="5"/>
      <c r="N10" s="5"/>
      <c r="O10" s="5"/>
      <c r="P10" s="5"/>
      <c r="Q10" s="5"/>
      <c r="R10" s="5"/>
      <c r="S10" s="5"/>
      <c r="T10" s="5"/>
      <c r="U10" s="6"/>
      <c r="V10" s="6"/>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row>
    <row r="11" spans="1:50" s="1" customFormat="1" ht="22.15" customHeight="1" thickBot="1">
      <c r="A11" s="8"/>
      <c r="B11" s="79" t="s">
        <v>29</v>
      </c>
      <c r="C11" s="80" t="s">
        <v>30</v>
      </c>
      <c r="D11" s="81">
        <v>0</v>
      </c>
      <c r="E11" s="82">
        <f>F10</f>
        <v>45476</v>
      </c>
      <c r="F11" s="82">
        <f>E11+4</f>
        <v>45480</v>
      </c>
      <c r="G11" s="28"/>
      <c r="H11" s="28">
        <f t="shared" ca="1" si="3"/>
        <v>5</v>
      </c>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row>
    <row r="12" spans="1:50" s="1" customFormat="1" ht="22.15" customHeight="1" thickBot="1">
      <c r="A12" s="8"/>
      <c r="B12" s="79" t="s">
        <v>31</v>
      </c>
      <c r="C12" s="80" t="s">
        <v>32</v>
      </c>
      <c r="D12" s="81">
        <v>0</v>
      </c>
      <c r="E12" s="82">
        <f>F11</f>
        <v>45480</v>
      </c>
      <c r="F12" s="82">
        <f>E12+5</f>
        <v>45485</v>
      </c>
      <c r="G12" s="28"/>
      <c r="H12" s="28">
        <f t="shared" ca="1" si="3"/>
        <v>6</v>
      </c>
      <c r="I12" s="5"/>
      <c r="J12" s="5"/>
      <c r="K12" s="5"/>
      <c r="L12" s="5"/>
      <c r="M12" s="5"/>
      <c r="N12" s="5"/>
      <c r="O12" s="5"/>
      <c r="P12" s="5"/>
      <c r="Q12" s="5"/>
      <c r="R12" s="5"/>
      <c r="S12" s="5"/>
      <c r="T12" s="5"/>
      <c r="U12" s="5"/>
      <c r="V12" s="5"/>
      <c r="W12" s="5"/>
      <c r="X12" s="5"/>
      <c r="Y12" s="6"/>
      <c r="Z12" s="5"/>
      <c r="AA12" s="5"/>
      <c r="AB12" s="5"/>
      <c r="AC12" s="5"/>
      <c r="AD12" s="5"/>
      <c r="AE12" s="5"/>
      <c r="AF12" s="5"/>
      <c r="AG12" s="5"/>
      <c r="AH12" s="5"/>
      <c r="AI12" s="5"/>
      <c r="AJ12" s="5"/>
      <c r="AK12" s="5"/>
      <c r="AL12" s="5"/>
      <c r="AM12" s="5"/>
      <c r="AN12" s="5"/>
      <c r="AO12" s="5"/>
      <c r="AP12" s="5"/>
      <c r="AQ12" s="5"/>
      <c r="AR12" s="5"/>
      <c r="AS12" s="5"/>
      <c r="AT12" s="5"/>
      <c r="AU12" s="5"/>
      <c r="AV12" s="5"/>
      <c r="AW12" s="5"/>
      <c r="AX12" s="5"/>
    </row>
    <row r="13" spans="1:50" s="1" customFormat="1" ht="22.15" customHeight="1">
      <c r="A13" s="8"/>
      <c r="B13" s="79"/>
      <c r="C13" s="80" t="s">
        <v>33</v>
      </c>
      <c r="D13" s="81"/>
      <c r="E13" s="82">
        <f>E10+1</f>
        <v>45475</v>
      </c>
      <c r="F13" s="82">
        <f>E13+2</f>
        <v>45477</v>
      </c>
      <c r="G13" s="28"/>
      <c r="H13" s="28">
        <f t="shared" ca="1" si="3"/>
        <v>3</v>
      </c>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row>
    <row r="14" spans="1:50" s="1" customFormat="1" ht="22.15" customHeight="1" thickBot="1">
      <c r="A14" s="9" t="s">
        <v>34</v>
      </c>
      <c r="B14" s="84" t="s">
        <v>35</v>
      </c>
      <c r="C14" s="12"/>
      <c r="D14" s="29"/>
      <c r="E14" s="57"/>
      <c r="F14" s="58"/>
      <c r="G14" s="28"/>
      <c r="H14" s="28" t="str">
        <f t="shared" ca="1" si="3"/>
        <v/>
      </c>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row>
    <row r="15" spans="1:50" s="1" customFormat="1" ht="22.15" customHeight="1">
      <c r="A15" s="9"/>
      <c r="B15" s="85" t="s">
        <v>36</v>
      </c>
      <c r="C15" s="86" t="s">
        <v>37</v>
      </c>
      <c r="D15" s="87">
        <v>1</v>
      </c>
      <c r="E15" s="88">
        <v>45476</v>
      </c>
      <c r="F15" s="88">
        <f>E15+4</f>
        <v>45480</v>
      </c>
      <c r="G15" s="28"/>
      <c r="H15" s="28">
        <f t="shared" ca="1" si="3"/>
        <v>5</v>
      </c>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row>
    <row r="16" spans="1:50" s="1" customFormat="1" ht="22.15" customHeight="1">
      <c r="A16" s="8"/>
      <c r="B16" s="85" t="s">
        <v>38</v>
      </c>
      <c r="C16" s="89" t="s">
        <v>32</v>
      </c>
      <c r="D16" s="87">
        <v>0.2</v>
      </c>
      <c r="E16" s="88">
        <f>E15+2</f>
        <v>45478</v>
      </c>
      <c r="F16" s="88">
        <f>E16+5</f>
        <v>45483</v>
      </c>
      <c r="G16" s="28"/>
      <c r="H16" s="28">
        <f t="shared" ca="1" si="3"/>
        <v>6</v>
      </c>
      <c r="I16" s="5"/>
      <c r="J16" s="5"/>
      <c r="K16" s="5"/>
      <c r="L16" s="5"/>
      <c r="M16" s="5"/>
      <c r="N16" s="5"/>
      <c r="O16" s="5"/>
      <c r="P16" s="5"/>
      <c r="Q16" s="5"/>
      <c r="R16" s="5"/>
      <c r="S16" s="5"/>
      <c r="T16" s="5"/>
      <c r="U16" s="6"/>
      <c r="V16" s="6"/>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row>
    <row r="17" spans="1:50" s="1" customFormat="1" ht="22.15" customHeight="1">
      <c r="A17" s="8"/>
      <c r="B17" s="85" t="s">
        <v>39</v>
      </c>
      <c r="C17" s="89" t="s">
        <v>40</v>
      </c>
      <c r="D17" s="87">
        <v>0.2</v>
      </c>
      <c r="E17" s="88">
        <f>F16</f>
        <v>45483</v>
      </c>
      <c r="F17" s="88">
        <f>E17+3</f>
        <v>45486</v>
      </c>
      <c r="G17" s="28"/>
      <c r="H17" s="28">
        <f t="shared" ca="1" si="3"/>
        <v>4</v>
      </c>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row>
    <row r="18" spans="1:50" s="1" customFormat="1" ht="22.15" customHeight="1">
      <c r="A18" s="8"/>
      <c r="B18" s="85" t="s">
        <v>41</v>
      </c>
      <c r="C18" s="89" t="s">
        <v>33</v>
      </c>
      <c r="D18" s="87">
        <v>0.2</v>
      </c>
      <c r="E18" s="88">
        <f>E17</f>
        <v>45483</v>
      </c>
      <c r="F18" s="88">
        <f>E18+2</f>
        <v>45485</v>
      </c>
      <c r="G18" s="28"/>
      <c r="H18" s="28">
        <f t="shared" ca="1" si="3"/>
        <v>3</v>
      </c>
      <c r="I18" s="5"/>
      <c r="J18" s="5"/>
      <c r="K18" s="5"/>
      <c r="L18" s="5"/>
      <c r="M18" s="5"/>
      <c r="N18" s="5"/>
      <c r="O18" s="5"/>
      <c r="P18" s="5"/>
      <c r="Q18" s="5"/>
      <c r="R18" s="5"/>
      <c r="S18" s="5"/>
      <c r="T18" s="5"/>
      <c r="U18" s="5"/>
      <c r="V18" s="5"/>
      <c r="W18" s="5"/>
      <c r="X18" s="5"/>
      <c r="Y18" s="6"/>
      <c r="Z18" s="5"/>
      <c r="AA18" s="5"/>
      <c r="AB18" s="5"/>
      <c r="AC18" s="5"/>
      <c r="AD18" s="5"/>
      <c r="AE18" s="5"/>
      <c r="AF18" s="5"/>
      <c r="AG18" s="5"/>
      <c r="AH18" s="5"/>
      <c r="AI18" s="5"/>
      <c r="AJ18" s="5"/>
      <c r="AK18" s="5"/>
      <c r="AL18" s="5"/>
      <c r="AM18" s="5"/>
      <c r="AN18" s="5"/>
      <c r="AO18" s="5"/>
      <c r="AP18" s="5"/>
      <c r="AQ18" s="5"/>
      <c r="AR18" s="5"/>
      <c r="AS18" s="5"/>
      <c r="AT18" s="5"/>
      <c r="AU18" s="5"/>
      <c r="AV18" s="5"/>
      <c r="AW18" s="5"/>
      <c r="AX18" s="5"/>
    </row>
    <row r="19" spans="1:50" s="1" customFormat="1" ht="22.15" customHeight="1" thickBot="1">
      <c r="A19" s="8"/>
      <c r="B19" s="71" t="s">
        <v>42</v>
      </c>
      <c r="C19" s="72" t="s">
        <v>28</v>
      </c>
      <c r="D19" s="73"/>
      <c r="E19" s="74">
        <v>45485</v>
      </c>
      <c r="F19" s="74">
        <v>45485</v>
      </c>
      <c r="G19" s="28"/>
      <c r="H19" s="28">
        <f t="shared" ca="1" si="3"/>
        <v>1</v>
      </c>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row>
    <row r="20" spans="1:50" s="1" customFormat="1" ht="22.15" customHeight="1" thickBot="1">
      <c r="A20" s="8" t="s">
        <v>43</v>
      </c>
      <c r="B20" s="90" t="s">
        <v>44</v>
      </c>
      <c r="C20" s="13"/>
      <c r="D20" s="30"/>
      <c r="E20" s="59"/>
      <c r="F20" s="60"/>
      <c r="G20" s="28"/>
      <c r="H20" s="28" t="str">
        <f t="shared" ca="1" si="3"/>
        <v/>
      </c>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row>
    <row r="21" spans="1:50" s="1" customFormat="1" ht="22.15" customHeight="1">
      <c r="A21" s="8"/>
      <c r="B21" s="91" t="s">
        <v>45</v>
      </c>
      <c r="C21" s="92" t="s">
        <v>32</v>
      </c>
      <c r="D21" s="93">
        <v>0</v>
      </c>
      <c r="E21" s="94">
        <v>45486</v>
      </c>
      <c r="F21" s="94">
        <v>45489</v>
      </c>
      <c r="G21" s="28"/>
      <c r="H21" s="28">
        <f t="shared" ca="1" si="3"/>
        <v>4</v>
      </c>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row>
    <row r="22" spans="1:50" s="1" customFormat="1" ht="22.15" customHeight="1">
      <c r="A22" s="8"/>
      <c r="B22" s="91" t="s">
        <v>46</v>
      </c>
      <c r="C22" s="95" t="s">
        <v>40</v>
      </c>
      <c r="D22" s="93">
        <v>0</v>
      </c>
      <c r="E22" s="94">
        <f>F21+1</f>
        <v>45490</v>
      </c>
      <c r="F22" s="94">
        <f>E22+4</f>
        <v>45494</v>
      </c>
      <c r="G22" s="28"/>
      <c r="H22" s="28">
        <f t="shared" ca="1" si="3"/>
        <v>5</v>
      </c>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row>
    <row r="23" spans="1:50" s="1" customFormat="1" ht="22.15" customHeight="1">
      <c r="A23" s="8"/>
      <c r="B23" s="91" t="s">
        <v>47</v>
      </c>
      <c r="C23" s="95" t="s">
        <v>37</v>
      </c>
      <c r="D23" s="93">
        <v>0</v>
      </c>
      <c r="E23" s="94">
        <f>E22+5</f>
        <v>45495</v>
      </c>
      <c r="F23" s="94">
        <v>45498</v>
      </c>
      <c r="G23" s="28"/>
      <c r="H23" s="28">
        <f t="shared" ca="1" si="3"/>
        <v>4</v>
      </c>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row>
    <row r="24" spans="1:50" s="1" customFormat="1" ht="22.15" customHeight="1">
      <c r="A24" s="8"/>
      <c r="B24" s="91" t="s">
        <v>48</v>
      </c>
      <c r="C24" s="95" t="s">
        <v>33</v>
      </c>
      <c r="D24" s="93">
        <v>0</v>
      </c>
      <c r="E24" s="94">
        <v>45498</v>
      </c>
      <c r="F24" s="94">
        <v>45499</v>
      </c>
      <c r="G24" s="28"/>
      <c r="H24" s="28">
        <f t="shared" ca="1" si="3"/>
        <v>2</v>
      </c>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row>
    <row r="25" spans="1:50" s="1" customFormat="1" ht="22.15" customHeight="1" thickBot="1">
      <c r="A25" s="8"/>
      <c r="B25" s="75" t="s">
        <v>49</v>
      </c>
      <c r="C25" s="76" t="s">
        <v>28</v>
      </c>
      <c r="D25" s="77"/>
      <c r="E25" s="78">
        <v>45499</v>
      </c>
      <c r="F25" s="78">
        <v>45499</v>
      </c>
      <c r="G25" s="28"/>
      <c r="H25" s="28">
        <f t="shared" ca="1" si="3"/>
        <v>1</v>
      </c>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row>
    <row r="26" spans="1:50" s="1" customFormat="1" ht="22.15" customHeight="1" thickBot="1">
      <c r="A26" s="8" t="s">
        <v>43</v>
      </c>
      <c r="B26" s="96" t="s">
        <v>50</v>
      </c>
      <c r="C26" s="14"/>
      <c r="D26" s="31"/>
      <c r="E26" s="61"/>
      <c r="F26" s="62"/>
      <c r="G26" s="28"/>
      <c r="H26" s="28" t="str">
        <f t="shared" ca="1" si="3"/>
        <v/>
      </c>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row>
    <row r="27" spans="1:50" s="1" customFormat="1" ht="22.15" customHeight="1">
      <c r="A27" s="8"/>
      <c r="B27" s="97" t="s">
        <v>51</v>
      </c>
      <c r="C27" s="98" t="s">
        <v>52</v>
      </c>
      <c r="D27" s="32">
        <v>0</v>
      </c>
      <c r="E27" s="100">
        <v>45492</v>
      </c>
      <c r="F27" s="100">
        <v>45493</v>
      </c>
      <c r="G27" s="28"/>
      <c r="H27" s="28">
        <f t="shared" ca="1" si="3"/>
        <v>2</v>
      </c>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row>
    <row r="28" spans="1:50" s="1" customFormat="1" ht="22.15" customHeight="1">
      <c r="A28" s="8"/>
      <c r="B28" s="97" t="s">
        <v>53</v>
      </c>
      <c r="C28" s="99" t="s">
        <v>32</v>
      </c>
      <c r="D28" s="32">
        <v>0</v>
      </c>
      <c r="E28" s="100">
        <f>F27</f>
        <v>45493</v>
      </c>
      <c r="F28" s="101">
        <f>E28+1</f>
        <v>45494</v>
      </c>
      <c r="G28" s="28"/>
      <c r="H28" s="28">
        <f t="shared" ca="1" si="3"/>
        <v>2</v>
      </c>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row>
    <row r="29" spans="1:50" s="1" customFormat="1" ht="22.15" customHeight="1">
      <c r="A29" s="8"/>
      <c r="B29" s="97" t="s">
        <v>54</v>
      </c>
      <c r="C29" s="99" t="s">
        <v>55</v>
      </c>
      <c r="D29" s="32">
        <v>0</v>
      </c>
      <c r="E29" s="101">
        <f>F27</f>
        <v>45493</v>
      </c>
      <c r="F29" s="101">
        <f>E29+1</f>
        <v>45494</v>
      </c>
      <c r="G29" s="28"/>
      <c r="H29" s="28">
        <f t="shared" ca="1" si="3"/>
        <v>2</v>
      </c>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row>
    <row r="30" spans="1:50" s="1" customFormat="1" ht="22.15" customHeight="1">
      <c r="A30" s="8"/>
      <c r="B30" s="97" t="s">
        <v>56</v>
      </c>
      <c r="C30" s="99" t="s">
        <v>57</v>
      </c>
      <c r="D30" s="32">
        <v>0</v>
      </c>
      <c r="E30" s="101">
        <f>F27</f>
        <v>45493</v>
      </c>
      <c r="F30" s="101">
        <f>E30+1</f>
        <v>45494</v>
      </c>
      <c r="G30" s="28"/>
      <c r="H30" s="28">
        <f t="shared" ca="1" si="3"/>
        <v>2</v>
      </c>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row>
    <row r="31" spans="1:50" s="1" customFormat="1" ht="22.15" customHeight="1" thickBot="1">
      <c r="A31" s="8"/>
      <c r="B31" s="16" t="s">
        <v>49</v>
      </c>
      <c r="C31" s="15" t="s">
        <v>28</v>
      </c>
      <c r="D31" s="32"/>
      <c r="E31" s="63">
        <v>45499</v>
      </c>
      <c r="F31" s="63">
        <v>45499</v>
      </c>
      <c r="G31" s="28"/>
      <c r="H31" s="28">
        <f t="shared" ca="1" si="3"/>
        <v>1</v>
      </c>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row>
    <row r="32" spans="1:50" s="1" customFormat="1" ht="22.15" customHeight="1" thickBot="1">
      <c r="A32" s="8" t="s">
        <v>43</v>
      </c>
      <c r="B32" s="66" t="s">
        <v>58</v>
      </c>
      <c r="C32" s="67"/>
      <c r="D32" s="68"/>
      <c r="E32" s="69">
        <v>45505</v>
      </c>
      <c r="F32" s="70">
        <v>45505</v>
      </c>
      <c r="G32" s="28"/>
      <c r="H32" s="28">
        <f t="shared" ca="1" si="3"/>
        <v>1</v>
      </c>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row>
    <row r="33" spans="1:50" s="1" customFormat="1" ht="22.15" customHeight="1" thickBot="1">
      <c r="A33" s="8"/>
      <c r="B33" s="102"/>
      <c r="C33" s="103"/>
      <c r="D33" s="104"/>
      <c r="E33" s="105"/>
      <c r="F33" s="106"/>
      <c r="G33" s="28"/>
      <c r="H33" s="28"/>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row>
    <row r="34" spans="1:50" s="1" customFormat="1" ht="22.15" customHeight="1" thickBot="1">
      <c r="A34" s="9" t="s">
        <v>59</v>
      </c>
      <c r="B34" s="33" t="s">
        <v>60</v>
      </c>
      <c r="C34" s="34"/>
      <c r="D34" s="35"/>
      <c r="E34" s="64"/>
      <c r="F34" s="65"/>
      <c r="G34" s="36"/>
      <c r="H34" s="36" t="str">
        <f t="shared" ca="1" si="3"/>
        <v/>
      </c>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row>
    <row r="35" spans="1:50" ht="30" customHeight="1">
      <c r="G35" s="3"/>
    </row>
    <row r="36" spans="1:50" ht="30" customHeight="1">
      <c r="C36" s="37"/>
      <c r="F36" s="38"/>
    </row>
    <row r="37" spans="1:50" ht="30" customHeight="1">
      <c r="C37" s="39"/>
    </row>
  </sheetData>
  <mergeCells count="9">
    <mergeCell ref="C3:D3"/>
    <mergeCell ref="C4:D4"/>
    <mergeCell ref="AK4:AQ4"/>
    <mergeCell ref="AR4:AX4"/>
    <mergeCell ref="E3:F3"/>
    <mergeCell ref="I4:O4"/>
    <mergeCell ref="P4:V4"/>
    <mergeCell ref="W4:AC4"/>
    <mergeCell ref="AD4:AJ4"/>
  </mergeCells>
  <phoneticPr fontId="29"/>
  <conditionalFormatting sqref="D7:D34">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AW34">
    <cfRule type="expression" dxfId="4" priority="33">
      <formula>AND(TODAY()&gt;=I$5,TODAY()&lt;J$5)</formula>
    </cfRule>
  </conditionalFormatting>
  <conditionalFormatting sqref="I7:AW34">
    <cfRule type="expression" dxfId="3" priority="28" stopIfTrue="1">
      <formula>AND(タスク_終了&gt;=I$5,タスク_開始&lt;J$5)</formula>
    </cfRule>
  </conditionalFormatting>
  <conditionalFormatting sqref="I7:AX34">
    <cfRule type="expression" dxfId="2" priority="27">
      <formula>AND(タスク_開始&lt;=I$5,ROUNDDOWN((タスク_終了-タスク_開始+1)*タスク_進捗状況,0)+タスク_開始-1&gt;=I$5)</formula>
    </cfRule>
  </conditionalFormatting>
  <conditionalFormatting sqref="AX5:AX34">
    <cfRule type="expression" dxfId="1" priority="35">
      <formula>AND(TODAY()&gt;=AX$5,TODAY()&lt;#REF!)</formula>
    </cfRule>
  </conditionalFormatting>
  <conditionalFormatting sqref="AX7:AX34">
    <cfRule type="expression" dxfId="0" priority="39" stopIfTrue="1">
      <formula>AND(タスク_終了&gt;=AX$5,タスク_開始&lt;#REF!)</formula>
    </cfRule>
  </conditionalFormatting>
  <dataValidations count="1">
    <dataValidation type="whole" operator="greaterThanOrEqual" allowBlank="1" showInputMessage="1" promptTitle="週表示" prompt="この数字を変更すると、ガント チャート ビューがスクロールされます。" sqref="E4" xr:uid="{00000000-0002-0000-0000-000000000000}">
      <formula1>1</formula1>
    </dataValidation>
  </dataValidations>
  <hyperlinks>
    <hyperlink ref="I2" r:id="rId1" xr:uid="{00000000-0004-0000-0000-000000000000}"/>
    <hyperlink ref="I1" r:id="rId2" xr:uid="{00000000-0004-0000-0000-000001000000}"/>
  </hyperlinks>
  <printOptions horizontalCentered="1"/>
  <pageMargins left="0.35" right="0.35" top="0.35" bottom="0.5" header="0.3" footer="0.3"/>
  <pageSetup paperSize="9" scale="51" fitToHeight="0" orientation="landscape" r:id="rId3"/>
  <headerFooter differentFirst="1" scaleWithDoc="0">
    <oddFooter>Page &amp;P of &amp;N</oddFooter>
  </headerFooter>
  <rowBreaks count="1" manualBreakCount="1">
    <brk id="33" max="16383" man="1"/>
  </rowBreaks>
  <ignoredErrors>
    <ignoredError sqref="F18 F22 E23"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D7:D34</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539D1-6341-45D2-822A-B1EA38F4DB17}">
  <dimension ref="A1:A11"/>
  <sheetViews>
    <sheetView workbookViewId="0">
      <selection activeCell="A8" sqref="A8"/>
    </sheetView>
  </sheetViews>
  <sheetFormatPr defaultRowHeight="15.75"/>
  <cols>
    <col min="1" max="1" width="42.21875" bestFit="1" customWidth="1"/>
  </cols>
  <sheetData>
    <row r="1" spans="1:1">
      <c r="A1" t="s">
        <v>61</v>
      </c>
    </row>
    <row r="2" spans="1:1">
      <c r="A2" t="s">
        <v>62</v>
      </c>
    </row>
    <row r="3" spans="1:1">
      <c r="A3" t="s">
        <v>63</v>
      </c>
    </row>
    <row r="4" spans="1:1">
      <c r="A4" t="s">
        <v>64</v>
      </c>
    </row>
    <row r="5" spans="1:1">
      <c r="A5" t="s">
        <v>65</v>
      </c>
    </row>
    <row r="6" spans="1:1">
      <c r="A6" t="s">
        <v>66</v>
      </c>
    </row>
    <row r="7" spans="1:1">
      <c r="A7" t="s">
        <v>67</v>
      </c>
    </row>
    <row r="9" spans="1:1">
      <c r="A9" t="s">
        <v>68</v>
      </c>
    </row>
    <row r="10" spans="1:1">
      <c r="A10" t="s">
        <v>69</v>
      </c>
    </row>
    <row r="11" spans="1:1">
      <c r="A11" t="s">
        <v>70</v>
      </c>
    </row>
  </sheetData>
  <phoneticPr fontId="29"/>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election activeCell="A7" sqref="A7"/>
    </sheetView>
  </sheetViews>
  <sheetFormatPr defaultColWidth="9" defaultRowHeight="14.25"/>
  <cols>
    <col min="1" max="1" width="87" style="40" customWidth="1"/>
    <col min="2" max="16384" width="9" style="41"/>
  </cols>
  <sheetData>
    <row r="1" spans="1:2" ht="46.5" customHeight="1"/>
    <row r="2" spans="1:2" s="43" customFormat="1" ht="16.5">
      <c r="A2" s="42" t="s">
        <v>2</v>
      </c>
      <c r="B2" s="42"/>
    </row>
    <row r="3" spans="1:2" s="46" customFormat="1" ht="27" customHeight="1">
      <c r="A3" s="44" t="s">
        <v>5</v>
      </c>
      <c r="B3" s="45"/>
    </row>
    <row r="4" spans="1:2" s="48" customFormat="1" ht="28.5">
      <c r="A4" s="47" t="s">
        <v>71</v>
      </c>
    </row>
    <row r="5" spans="1:2" ht="60" customHeight="1">
      <c r="A5" s="49" t="s">
        <v>72</v>
      </c>
    </row>
    <row r="6" spans="1:2" ht="26.25" customHeight="1">
      <c r="A6" s="47" t="s">
        <v>73</v>
      </c>
    </row>
    <row r="7" spans="1:2" s="40" customFormat="1" ht="204.95" customHeight="1">
      <c r="A7" s="50" t="s">
        <v>74</v>
      </c>
    </row>
    <row r="8" spans="1:2" s="48" customFormat="1" ht="28.5">
      <c r="A8" s="47" t="s">
        <v>75</v>
      </c>
    </row>
    <row r="9" spans="1:2" ht="47.25">
      <c r="A9" s="49" t="s">
        <v>76</v>
      </c>
    </row>
    <row r="10" spans="1:2" s="40" customFormat="1" ht="27.95" customHeight="1">
      <c r="A10" s="51" t="s">
        <v>77</v>
      </c>
    </row>
    <row r="11" spans="1:2" s="48" customFormat="1" ht="28.5">
      <c r="A11" s="47" t="s">
        <v>78</v>
      </c>
    </row>
    <row r="12" spans="1:2" ht="31.5">
      <c r="A12" s="49" t="s">
        <v>79</v>
      </c>
    </row>
    <row r="13" spans="1:2" s="40" customFormat="1" ht="27.95" customHeight="1">
      <c r="A13" s="51" t="s">
        <v>80</v>
      </c>
    </row>
    <row r="14" spans="1:2" s="48" customFormat="1" ht="28.5">
      <c r="A14" s="47" t="s">
        <v>81</v>
      </c>
    </row>
    <row r="15" spans="1:2" ht="64.5" customHeight="1">
      <c r="A15" s="49" t="s">
        <v>82</v>
      </c>
    </row>
    <row r="16" spans="1:2" ht="47.25">
      <c r="A16" s="49" t="s">
        <v>83</v>
      </c>
    </row>
  </sheetData>
  <phoneticPr fontId="29"/>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rowBreaks count="1" manualBreakCount="1">
    <brk id="15" max="16383" man="1"/>
  </rowBreaks>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E4A34E49-7289-4AEA-9593-4F55E04ADB10}"/>
</file>

<file path=customXml/itemProps2.xml><?xml version="1.0" encoding="utf-8"?>
<ds:datastoreItem xmlns:ds="http://schemas.openxmlformats.org/officeDocument/2006/customXml" ds:itemID="{5F80F839-78EF-4FF4-A673-3CC84279C232}"/>
</file>

<file path=customXml/itemProps3.xml><?xml version="1.0" encoding="utf-8"?>
<ds:datastoreItem xmlns:ds="http://schemas.openxmlformats.org/officeDocument/2006/customXml" ds:itemID="{AC3AD2E1-977A-4D4F-8EE8-D64B5FFADF75}"/>
</file>

<file path=docProps/app.xml><?xml version="1.0" encoding="utf-8"?>
<Properties xmlns="http://schemas.openxmlformats.org/officeDocument/2006/extended-properties" xmlns:vt="http://schemas.openxmlformats.org/officeDocument/2006/docPropsVTypes">
  <Template>TM16400962</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2021-12-14T20:18:50Z</dcterms:created>
  <dcterms:modified xsi:type="dcterms:W3CDTF">2024-07-05T03:04:51Z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